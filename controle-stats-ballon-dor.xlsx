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Detail" sheetId="2" state="visible" r:id="rId4"/>
    <sheet name="Distinctions" sheetId="3" state="visible" r:id="rId5"/>
    <sheet name="Methodologi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<sst xmlns="http://schemas.openxmlformats.org/spreadsheetml/2006/main" count="683" uniqueCount="190">
  <si>
    <t xml:space="preserve">Joueur</t>
  </si>
  <si>
    <t xml:space="preserve">Sélection</t>
  </si>
  <si>
    <t xml:space="preserve">Club (saison)</t>
  </si>
  <si>
    <t xml:space="preserve">Matchs</t>
  </si>
  <si>
    <t xml:space="preserve">Buts</t>
  </si>
  <si>
    <t xml:space="preserve">Passes</t>
  </si>
  <si>
    <t xml:space="preserve">Contributions</t>
  </si>
  <si>
    <t xml:space="preserve">Buts / match</t>
  </si>
  <si>
    <t xml:space="preserve">Lignes confirmées</t>
  </si>
  <si>
    <t xml:space="preserve">Lignes arbitrées</t>
  </si>
  <si>
    <t xml:space="preserve">Lignes conservées</t>
  </si>
  <si>
    <t xml:space="preserve">Statut global</t>
  </si>
  <si>
    <t xml:space="preserve">Kylian Mbappé</t>
  </si>
  <si>
    <t xml:space="preserve">France</t>
  </si>
  <si>
    <t xml:space="preserve">Real Madrid</t>
  </si>
  <si>
    <t xml:space="preserve">verified</t>
  </si>
  <si>
    <t xml:space="preserve">Ousmane Dembélé</t>
  </si>
  <si>
    <t xml:space="preserve">Paris Saint-Germain</t>
  </si>
  <si>
    <t xml:space="preserve">verified-with-arbitration</t>
  </si>
  <si>
    <t xml:space="preserve">Michael Olise</t>
  </si>
  <si>
    <t xml:space="preserve">Bayern Munich</t>
  </si>
  <si>
    <t xml:space="preserve">Rodri</t>
  </si>
  <si>
    <t xml:space="preserve">Espagne</t>
  </si>
  <si>
    <t xml:space="preserve">Manchester City</t>
  </si>
  <si>
    <t xml:space="preserve">Lamine Yamal</t>
  </si>
  <si>
    <t xml:space="preserve">FC Barcelone</t>
  </si>
  <si>
    <t xml:space="preserve">Jude Bellingham</t>
  </si>
  <si>
    <t xml:space="preserve">Angleterre</t>
  </si>
  <si>
    <t xml:space="preserve">Harry Kane</t>
  </si>
  <si>
    <t xml:space="preserve">Lionel Messi</t>
  </si>
  <si>
    <t xml:space="preserve">Argentine</t>
  </si>
  <si>
    <t xml:space="preserve">Inter Miami</t>
  </si>
  <si>
    <t xml:space="preserve">Khvicha Kvaratskhelia</t>
  </si>
  <si>
    <t xml:space="preserve">Géorgie</t>
  </si>
  <si>
    <t xml:space="preserve">Erling Haaland</t>
  </si>
  <si>
    <t xml:space="preserve">Norvège</t>
  </si>
  <si>
    <t xml:space="preserve">TOTAL</t>
  </si>
  <si>
    <t xml:space="preserve">Passes : « n.r. » = non renseigné pour la compétition ; les totaux de passes sont donc des minimums (affichés « + » sur le site).</t>
  </si>
  <si>
    <t xml:space="preserve">Totaux calculés par formule depuis l'onglet Detail.</t>
  </si>
  <si>
    <t xml:space="preserve">Compétition</t>
  </si>
  <si>
    <t xml:space="preserve">Catégorie</t>
  </si>
  <si>
    <t xml:space="preserve">Statut</t>
  </si>
  <si>
    <t xml:space="preserve">Source</t>
  </si>
  <si>
    <t xml:space="preserve">Note</t>
  </si>
  <si>
    <t xml:space="preserve">LaLiga</t>
  </si>
  <si>
    <t xml:space="preserve">Championnat</t>
  </si>
  <si>
    <t xml:space="preserve">Confirmé (source officielle)</t>
  </si>
  <si>
    <t xml:space="preserve">Real Madrid / Goal (Pichichi 25)</t>
  </si>
  <si>
    <t xml:space="preserve">31 m / 25 b / 5 p</t>
  </si>
  <si>
    <t xml:space="preserve">Copa del Rey</t>
  </si>
  <si>
    <t xml:space="preserve">Coupe nationale</t>
  </si>
  <si>
    <t xml:space="preserve">Déduit d'un total officiel</t>
  </si>
  <si>
    <t xml:space="preserve">Real Madrid : 44 m / 42 b toutes compétitions</t>
  </si>
  <si>
    <t xml:space="preserve">Ligue des champions</t>
  </si>
  <si>
    <t xml:space="preserve">Coupe continentale</t>
  </si>
  <si>
    <t xml:space="preserve">Real Madrid : meilleur buteur LDC 15 b en 11 m</t>
  </si>
  <si>
    <t xml:space="preserve">Supercoupe d'Espagne</t>
  </si>
  <si>
    <t xml:space="preserve">Supercoupes / autres</t>
  </si>
  <si>
    <t xml:space="preserve">n.r.</t>
  </si>
  <si>
    <t xml:space="preserve">Coupe du monde 2026</t>
  </si>
  <si>
    <t xml:space="preserve">Coupe du monde</t>
  </si>
  <si>
    <t xml:space="preserve">Confirmé (médias concordants)</t>
  </si>
  <si>
    <t xml:space="preserve">FIFA via Foot Mercato, Goal (Soulier d'or 10 b)</t>
  </si>
  <si>
    <t xml:space="preserve">4 passes : source unique (Foot Africa)</t>
  </si>
  <si>
    <t xml:space="preserve">Qualifications Coupe du monde (UEFA)</t>
  </si>
  <si>
    <t xml:space="preserve">Qualifications Coupe du monde</t>
  </si>
  <si>
    <t xml:space="preserve">Classement buteurs qualifs UEFA : 5 b</t>
  </si>
  <si>
    <t xml:space="preserve">Buts : Ukraine, Islande, Azerbaïdjan, Ukraine ×2 = 5 en 4 matchs</t>
  </si>
  <si>
    <t xml:space="preserve">Ligue 1</t>
  </si>
  <si>
    <t xml:space="preserve">Arbitré (valeur la plus cohérente)</t>
  </si>
  <si>
    <t xml:space="preserve">UNFP (11/05/2026) : 20 m / 10 b / 6 p</t>
  </si>
  <si>
    <t xml:space="preserve">22/10/7 conservé : UNFP au 11/05 avant 2 journées ; a joué le 17/05</t>
  </si>
  <si>
    <t xml:space="preserve">Coupe de France</t>
  </si>
  <si>
    <t xml:space="preserve">Conservé (cohérent, non contredit)</t>
  </si>
  <si>
    <t xml:space="preserve">PSG éliminé en 16es (Paris FC)</t>
  </si>
  <si>
    <t xml:space="preserve">Valeur d'origine, cohérente avec les totaux et le calendrier</t>
  </si>
  <si>
    <t xml:space="preserve">—</t>
  </si>
  <si>
    <t xml:space="preserve">Total club 20 b confirmé (Wikipedia PSG)</t>
  </si>
  <si>
    <t xml:space="preserve">Trophée des champions</t>
  </si>
  <si>
    <t xml:space="preserve">Sports Mole : but à la 13e vs Marseille</t>
  </si>
  <si>
    <t xml:space="preserve">Supercoupe de l'UEFA</t>
  </si>
  <si>
    <t xml:space="preserve">Coupe intercontinentale</t>
  </si>
  <si>
    <t xml:space="preserve">Reconstitué : Irak 1, Norvège 3, Maroc 1, Angleterre 1</t>
  </si>
  <si>
    <t xml:space="preserve">Passes non vérifiées</t>
  </si>
  <si>
    <t xml:space="preserve">Bundesliga</t>
  </si>
  <si>
    <t xml:space="preserve">DFL / Bundesliga.com : 32 m / 15 b / 19 p</t>
  </si>
  <si>
    <t xml:space="preserve">Coupe d'Allemagne</t>
  </si>
  <si>
    <t xml:space="preserve">Bundesliga.com : 8 passes (co-meilleur passeur)</t>
  </si>
  <si>
    <t xml:space="preserve">Buts et matchs non vérifiés</t>
  </si>
  <si>
    <t xml:space="preserve">Supercoupe d'Allemagne</t>
  </si>
  <si>
    <t xml:space="preserve">beIN / Afrik : meilleur passeur, 7 p (record)</t>
  </si>
  <si>
    <t xml:space="preserve">Premier League</t>
  </si>
  <si>
    <t xml:space="preserve">Rotowire / Foot Africa : 21 m, 1 b</t>
  </si>
  <si>
    <t xml:space="preserve">FA Cup</t>
  </si>
  <si>
    <t xml:space="preserve">EFL Cup</t>
  </si>
  <si>
    <t xml:space="preserve">Coupe de la Ligue</t>
  </si>
  <si>
    <t xml:space="preserve">Espagne : 8 matchs jusqu'au titre</t>
  </si>
  <si>
    <t xml:space="preserve">LaLiga : 16 b / 12 p</t>
  </si>
  <si>
    <t xml:space="preserve">Matchs non vérifiés</t>
  </si>
  <si>
    <t xml:space="preserve">ESPN : 24 b toutes compétitions en club</t>
  </si>
  <si>
    <t xml:space="preserve">Rotowire : 1 b, 0 p</t>
  </si>
  <si>
    <t xml:space="preserve">Soccerway : 19 m / 4 b / 3 p (valeur retenue)</t>
  </si>
  <si>
    <t xml:space="preserve">Ancien 28/6/4 incompatible avec 2 blessures</t>
  </si>
  <si>
    <t xml:space="preserve">Real éliminé en 8es (Albacete)</t>
  </si>
  <si>
    <t xml:space="preserve">1 b confirmé (Juventus 22/10/2025) ; absent barrages et 8es</t>
  </si>
  <si>
    <t xml:space="preserve">Real finaliste de la Supercopa</t>
  </si>
  <si>
    <t xml:space="preserve">Foot Mercato : 7 b</t>
  </si>
  <si>
    <t xml:space="preserve">Bundesliga.com : 31 m / 36 b / 5 p</t>
  </si>
  <si>
    <t xml:space="preserve">Bundesliga.com : 6 m / 10 b</t>
  </si>
  <si>
    <t xml:space="preserve">Bundesliga.com : 13 m / 14 b / 2 p</t>
  </si>
  <si>
    <t xml:space="preserve">Bundesliga.com : 1 m / 1 b</t>
  </si>
  <si>
    <t xml:space="preserve">Foot Mercato : 6 b</t>
  </si>
  <si>
    <t xml:space="preserve">Passe non vérifiée</t>
  </si>
  <si>
    <t xml:space="preserve">8 b au total en qualifs, 5 matchs d'Angleterre sur la période</t>
  </si>
  <si>
    <t xml:space="preserve">MLS — saison régulière 2025</t>
  </si>
  <si>
    <t xml:space="preserve">Inter Miami / MLS : 28 m / 29 b / 19 p</t>
  </si>
  <si>
    <t xml:space="preserve">Saison 2025 complète (choix éditorial)</t>
  </si>
  <si>
    <t xml:space="preserve">Coupe des champions de la CONCACAF</t>
  </si>
  <si>
    <t xml:space="preserve">Concacaf : 2 m vs Nashville, 1 b</t>
  </si>
  <si>
    <t xml:space="preserve">MLS — playoffs 2025</t>
  </si>
  <si>
    <t xml:space="preserve">Playoffs MLS</t>
  </si>
  <si>
    <t xml:space="preserve">Inter Miami : 6 b / 9 p</t>
  </si>
  <si>
    <t xml:space="preserve">Leagues Cup</t>
  </si>
  <si>
    <t xml:space="preserve">2 b en demi-finale (Orlando)</t>
  </si>
  <si>
    <t xml:space="preserve">Foot Africa / Foot Mercato : 8 b / 4 p</t>
  </si>
  <si>
    <t xml:space="preserve">Qualifications Coupe du monde (CONMEBOL)</t>
  </si>
  <si>
    <t xml:space="preserve">Doublé vs Venezuela (04/09/2025), seul match de qualif sur la période</t>
  </si>
  <si>
    <t xml:space="preserve">Foot Mercato : 46 m / 18 b / 10 p en club (JSON : 48 / 19 / 10)</t>
  </si>
  <si>
    <t xml:space="preserve">8 → 7 buts : 18 b club (Foot Mercato) − 10 LDC − 1 Intercontinentale</t>
  </si>
  <si>
    <t xml:space="preserve">UEFA : 16 m / 10 b / 6 p</t>
  </si>
  <si>
    <t xml:space="preserve">Man City / Premier League : 35 m / 27 b / 8 p</t>
  </si>
  <si>
    <t xml:space="preserve">NBC (24/05/2026) : 3 m / 3 b</t>
  </si>
  <si>
    <t xml:space="preserve">4 m conservés (total NBC 52 m) ; +1 passe (finale vs Chelsea)</t>
  </si>
  <si>
    <t xml:space="preserve">NBC : 3 m / 0 b</t>
  </si>
  <si>
    <t xml:space="preserve">NBC : 10 m / 8 b</t>
  </si>
  <si>
    <t xml:space="preserve">16 b en 8 m au total, dont 12 sur la période</t>
  </si>
  <si>
    <t xml:space="preserve">Type</t>
  </si>
  <si>
    <t xml:space="preserve">Distinction</t>
  </si>
  <si>
    <t xml:space="preserve">Individuelle</t>
  </si>
  <si>
    <t xml:space="preserve">Meilleur buteur — Ligue des champions</t>
  </si>
  <si>
    <t xml:space="preserve">Meilleur buteur — Liga</t>
  </si>
  <si>
    <t xml:space="preserve">Meilleur buteur — Coupe du monde</t>
  </si>
  <si>
    <t xml:space="preserve">3ème meilleur joueur — Coupe du monde</t>
  </si>
  <si>
    <t xml:space="preserve">Collective</t>
  </si>
  <si>
    <t xml:space="preserve">Meilleur joueur — Ligue 1</t>
  </si>
  <si>
    <t xml:space="preserve">Meilleur joueur — Bundesliga</t>
  </si>
  <si>
    <t xml:space="preserve">Meilleur passeur — Bundesliga</t>
  </si>
  <si>
    <t xml:space="preserve">Meilleur passeur — Ligue des champions</t>
  </si>
  <si>
    <t xml:space="preserve">Meilleur passeur — Coupe du monde</t>
  </si>
  <si>
    <t xml:space="preserve">Meilleur joueur — Coupe du monde</t>
  </si>
  <si>
    <t xml:space="preserve">Liga</t>
  </si>
  <si>
    <t xml:space="preserve">Meilleur joueur — Liga</t>
  </si>
  <si>
    <t xml:space="preserve">Meilleur passeur — Liga</t>
  </si>
  <si>
    <t xml:space="preserve">3ème meilleur buteur — Coupe du monde</t>
  </si>
  <si>
    <t xml:space="preserve">Soulier d'or européen</t>
  </si>
  <si>
    <t xml:space="preserve">Meilleur buteur — Bundesliga</t>
  </si>
  <si>
    <t xml:space="preserve">Meilleur buteur — Coupe d'Allemagne</t>
  </si>
  <si>
    <t xml:space="preserve">2ème meilleur buteur — Ligue des champions</t>
  </si>
  <si>
    <t xml:space="preserve">MLS Cup</t>
  </si>
  <si>
    <t xml:space="preserve">2ème meilleur joueur — Coupe du monde</t>
  </si>
  <si>
    <t xml:space="preserve">2ème meilleur buteur — Coupe du monde</t>
  </si>
  <si>
    <t xml:space="preserve">Meilleur joueur — MLS</t>
  </si>
  <si>
    <t xml:space="preserve">Meilleur buteur — MLS</t>
  </si>
  <si>
    <t xml:space="preserve">2ème meilleur passeur — Coupe du monde</t>
  </si>
  <si>
    <t xml:space="preserve">Meilleur joueur — Playoffs MLS</t>
  </si>
  <si>
    <t xml:space="preserve">Meilleur buteur — Playoffs MLS</t>
  </si>
  <si>
    <t xml:space="preserve">Meilleur passeur — Playoffs MLS</t>
  </si>
  <si>
    <t xml:space="preserve">Meilleur joueur — Ligue des champions</t>
  </si>
  <si>
    <t xml:space="preserve">Meilleur buteur — Premier League</t>
  </si>
  <si>
    <t xml:space="preserve">Meilleur buteur — Coupe du monde (qualifications)</t>
  </si>
  <si>
    <t xml:space="preserve">Période</t>
  </si>
  <si>
    <t xml:space="preserve">3 août 2025 – 19 juillet 2026 ; club + sélection ; matchs amicaux exclus</t>
  </si>
  <si>
    <t xml:space="preserve">Exception</t>
  </si>
  <si>
    <t xml:space="preserve">Messi : MLS comptée sur la saison 2025 complète (régulière + playoffs), Leagues Cup incluse</t>
  </si>
  <si>
    <t xml:space="preserve">Source des données</t>
  </si>
  <si>
    <t xml:space="preserve">Wikipédia (CC BY-SA 4.0) ; passes : ESPN (relevé manuel) ; corrections : sources officielles</t>
  </si>
  <si>
    <t xml:space="preserve">Sources de contrôle</t>
  </si>
  <si>
    <t xml:space="preserve">UEFA, DFL/Bundesliga.com, LaLiga, Premier League, clubs (Real Madrid, Bayern, Man City, Inter Miami), Concacaf, UNFP, Soccerway, FotMob, The Analyst (Opta), presse (Foot Mercato, beIN, Goal, ESPN, NBC)</t>
  </si>
  <si>
    <t xml:space="preserve">Date du contrôle</t>
  </si>
  <si>
    <t xml:space="preserve">24/09/2026</t>
  </si>
  <si>
    <t xml:space="preserve">Corrections appliquées</t>
  </si>
  <si>
    <t xml:space="preserve">Bellingham Liga 28/6/4 → 19/4/3 ; Messi MLS passes 20 → 19 ; Yamal Liga passes 11 → 12 ; Olise LDC passes 6 → 8 ; Mbappé CdM passes n.r. → 4 ; retrait « 2ème meilleur passeur LDC » (Kvaratskhelia) ; Kvaratskhelia L1 buts 8 → 7 ; Haaland FA Cup passes n.r. → 1</t>
  </si>
  <si>
    <t xml:space="preserve">Arbitrages</t>
  </si>
  <si>
    <t xml:space="preserve">Dembélé L1 conservée (22/10/7) ; Kvaratskhelia L1 7 b ; Haaland FA Cup 4 m + 1 p ; Bellingham L1 19/4/3</t>
  </si>
  <si>
    <t xml:space="preserve">Réserve méthodologique</t>
  </si>
  <si>
    <t xml:space="preserve">Les passes décisives varient selon le fournisseur (Opta, Transfermarkt, organisateurs). Les chiffres mêlent ici organisateurs et ESPN : pour un contrôle strict, adopter une seule base de référence et la citer.</t>
  </si>
  <si>
    <t xml:space="preserve">Légende des statuts</t>
  </si>
  <si>
    <t xml:space="preserve">Confirmé (source officielle) · Confirmé (médias concordants) · Déduit d'un total officiel · Cohérent / plausible · Écart entre sources · Non vérifié · Arbitré (valeur la plus cohérente) · Conservé (cohérent, non contredit)</t>
  </si>
  <si>
    <t xml:space="preserve">Règle pour les lignes non vérifiables</t>
  </si>
  <si>
    <t xml:space="preserve">Valeur d'origine conservée si aucune source ne la contredit ET si elle est cohérente avec les totaux officiels et le calendrier (qualifications, blessures, éliminations). Aucune valeur n'a été inventée.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</si>
</sst>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D9EAD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CFE2F3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6" min="4" style="1" width="9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1" min="9" style="1" width="14"/>
    <col collapsed="false" customWidth="true" hidden="false" outlineLevel="0" max="12" min="12" style="1" width="18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3" t="n">
        <f aca="false">SUMIFS(Detail!$D$2:$D$64,Detail!$A$2:$A$64,A2)</f>
        <v>56</v>
      </c>
      <c r="E2" s="3" t="n">
        <f aca="false">SUMIFS(Detail!$E$2:$E$64,Detail!$A$2:$A$64,A2)</f>
        <v>57</v>
      </c>
      <c r="F2" s="3" t="n">
        <f aca="false">SUMIFS(Detail!$F$2:$F$64,Detail!$A$2:$A$64,A2)</f>
        <v>10</v>
      </c>
      <c r="G2" s="3" t="n">
        <f aca="false">E2+F2</f>
        <v>67</v>
      </c>
      <c r="H2" s="3" t="n">
        <f aca="false">IFERROR(ROUND(E2/D2,2),0)</f>
        <v>1.02</v>
      </c>
      <c r="I2" s="3" t="n">
        <f aca="false">COUNTIFS(Detail!$A$2:$A$64,A2,Detail!$G$2:$G$64,"Confirmé*")</f>
        <v>4</v>
      </c>
      <c r="J2" s="3" t="n">
        <f aca="false">COUNTIFS(Detail!$A$2:$A$64,A2,Detail!$G$2:$G$64,"Arbitré*")</f>
        <v>0</v>
      </c>
      <c r="K2" s="3" t="n">
        <f aca="false">COUNTIFS(Detail!$A$2:$A$64,A2,Detail!$G$2:$G$64,"Conservé*")</f>
        <v>0</v>
      </c>
      <c r="L2" s="3" t="s">
        <v>15</v>
      </c>
    </row>
    <row r="3" customFormat="false" ht="15" hidden="false" customHeight="true" outlineLevel="0" collapsed="false">
      <c r="A3" s="3" t="s">
        <v>16</v>
      </c>
      <c r="B3" s="3" t="s">
        <v>13</v>
      </c>
      <c r="C3" s="3" t="s">
        <v>17</v>
      </c>
      <c r="D3" s="3" t="n">
        <f aca="false">SUMIFS(Detail!$D$2:$D$64,Detail!$A$2:$A$64,A3)</f>
        <v>49</v>
      </c>
      <c r="E3" s="3" t="n">
        <f aca="false">SUMIFS(Detail!$E$2:$E$64,Detail!$A$2:$A$64,A3)</f>
        <v>26</v>
      </c>
      <c r="F3" s="3" t="n">
        <f aca="false">SUMIFS(Detail!$F$2:$F$64,Detail!$A$2:$A$64,A3)</f>
        <v>11</v>
      </c>
      <c r="G3" s="3" t="n">
        <f aca="false">E3+F3</f>
        <v>37</v>
      </c>
      <c r="H3" s="3" t="n">
        <f aca="false">IFERROR(ROUND(E3/D3,2),0)</f>
        <v>0.53</v>
      </c>
      <c r="I3" s="3" t="n">
        <f aca="false">COUNTIFS(Detail!$A$2:$A$64,A3,Detail!$G$2:$G$64,"Confirmé*")</f>
        <v>2</v>
      </c>
      <c r="J3" s="3" t="n">
        <f aca="false">COUNTIFS(Detail!$A$2:$A$64,A3,Detail!$G$2:$G$64,"Arbitré*")</f>
        <v>1</v>
      </c>
      <c r="K3" s="3" t="n">
        <f aca="false">COUNTIFS(Detail!$A$2:$A$64,A3,Detail!$G$2:$G$64,"Conservé*")</f>
        <v>5</v>
      </c>
      <c r="L3" s="3" t="s">
        <v>18</v>
      </c>
    </row>
    <row r="4" customFormat="false" ht="15" hidden="false" customHeight="true" outlineLevel="0" collapsed="false">
      <c r="A4" s="3" t="s">
        <v>19</v>
      </c>
      <c r="B4" s="3" t="s">
        <v>13</v>
      </c>
      <c r="C4" s="3" t="s">
        <v>20</v>
      </c>
      <c r="D4" s="3" t="n">
        <f aca="false">SUMIFS(Detail!$D$2:$D$64,Detail!$A$2:$A$64,A4)</f>
        <v>65</v>
      </c>
      <c r="E4" s="3" t="n">
        <f aca="false">SUMIFS(Detail!$E$2:$E$64,Detail!$A$2:$A$64,A4)</f>
        <v>24</v>
      </c>
      <c r="F4" s="3" t="n">
        <f aca="false">SUMIFS(Detail!$F$2:$F$64,Detail!$A$2:$A$64,A4)</f>
        <v>35</v>
      </c>
      <c r="G4" s="3" t="n">
        <f aca="false">E4+F4</f>
        <v>59</v>
      </c>
      <c r="H4" s="3" t="n">
        <f aca="false">IFERROR(ROUND(E4/D4,2),0)</f>
        <v>0.37</v>
      </c>
      <c r="I4" s="3" t="n">
        <f aca="false">COUNTIFS(Detail!$A$2:$A$64,A4,Detail!$G$2:$G$64,"Confirmé*")</f>
        <v>3</v>
      </c>
      <c r="J4" s="3" t="n">
        <f aca="false">COUNTIFS(Detail!$A$2:$A$64,A4,Detail!$G$2:$G$64,"Arbitré*")</f>
        <v>0</v>
      </c>
      <c r="K4" s="3" t="n">
        <f aca="false">COUNTIFS(Detail!$A$2:$A$64,A4,Detail!$G$2:$G$64,"Conservé*")</f>
        <v>3</v>
      </c>
      <c r="L4" s="3" t="s">
        <v>15</v>
      </c>
    </row>
    <row r="5" customFormat="false" ht="15" hidden="false" customHeight="true" outlineLevel="0" collapsed="false">
      <c r="A5" s="3" t="s">
        <v>21</v>
      </c>
      <c r="B5" s="3" t="s">
        <v>22</v>
      </c>
      <c r="C5" s="3" t="s">
        <v>23</v>
      </c>
      <c r="D5" s="3" t="n">
        <f aca="false">SUMIFS(Detail!$D$2:$D$64,Detail!$A$2:$A$64,A5)</f>
        <v>43</v>
      </c>
      <c r="E5" s="3" t="n">
        <f aca="false">SUMIFS(Detail!$E$2:$E$64,Detail!$A$2:$A$64,A5)</f>
        <v>2</v>
      </c>
      <c r="F5" s="3" t="n">
        <f aca="false">SUMIFS(Detail!$F$2:$F$64,Detail!$A$2:$A$64,A5)</f>
        <v>0</v>
      </c>
      <c r="G5" s="3" t="n">
        <f aca="false">E5+F5</f>
        <v>2</v>
      </c>
      <c r="H5" s="3" t="n">
        <f aca="false">IFERROR(ROUND(E5/D5,2),0)</f>
        <v>0.05</v>
      </c>
      <c r="I5" s="3" t="n">
        <f aca="false">COUNTIFS(Detail!$A$2:$A$64,A5,Detail!$G$2:$G$64,"Confirmé*")</f>
        <v>1</v>
      </c>
      <c r="J5" s="3" t="n">
        <f aca="false">COUNTIFS(Detail!$A$2:$A$64,A5,Detail!$G$2:$G$64,"Arbitré*")</f>
        <v>0</v>
      </c>
      <c r="K5" s="3" t="n">
        <f aca="false">COUNTIFS(Detail!$A$2:$A$64,A5,Detail!$G$2:$G$64,"Conservé*")</f>
        <v>5</v>
      </c>
      <c r="L5" s="3" t="s">
        <v>15</v>
      </c>
    </row>
    <row r="6" customFormat="false" ht="15" hidden="false" customHeight="true" outlineLevel="0" collapsed="false">
      <c r="A6" s="3" t="s">
        <v>24</v>
      </c>
      <c r="B6" s="3" t="s">
        <v>22</v>
      </c>
      <c r="C6" s="3" t="s">
        <v>25</v>
      </c>
      <c r="D6" s="3" t="n">
        <f aca="false">SUMIFS(Detail!$D$2:$D$64,Detail!$A$2:$A$64,A6)</f>
        <v>55</v>
      </c>
      <c r="E6" s="3" t="n">
        <f aca="false">SUMIFS(Detail!$E$2:$E$64,Detail!$A$2:$A$64,A6)</f>
        <v>25</v>
      </c>
      <c r="F6" s="3" t="n">
        <f aca="false">SUMIFS(Detail!$F$2:$F$64,Detail!$A$2:$A$64,A6)</f>
        <v>16</v>
      </c>
      <c r="G6" s="3" t="n">
        <f aca="false">E6+F6</f>
        <v>41</v>
      </c>
      <c r="H6" s="3" t="n">
        <f aca="false">IFERROR(ROUND(E6/D6,2),0)</f>
        <v>0.45</v>
      </c>
      <c r="I6" s="3" t="n">
        <f aca="false">COUNTIFS(Detail!$A$2:$A$64,A6,Detail!$G$2:$G$64,"Confirmé*")</f>
        <v>2</v>
      </c>
      <c r="J6" s="3" t="n">
        <f aca="false">COUNTIFS(Detail!$A$2:$A$64,A6,Detail!$G$2:$G$64,"Arbitré*")</f>
        <v>0</v>
      </c>
      <c r="K6" s="3" t="n">
        <f aca="false">COUNTIFS(Detail!$A$2:$A$64,A6,Detail!$G$2:$G$64,"Conservé*")</f>
        <v>1</v>
      </c>
      <c r="L6" s="3" t="s">
        <v>15</v>
      </c>
    </row>
    <row r="7" customFormat="false" ht="15" hidden="false" customHeight="true" outlineLevel="0" collapsed="false">
      <c r="A7" s="3" t="s">
        <v>26</v>
      </c>
      <c r="B7" s="3" t="s">
        <v>27</v>
      </c>
      <c r="C7" s="3" t="s">
        <v>14</v>
      </c>
      <c r="D7" s="3" t="n">
        <f aca="false">SUMIFS(Detail!$D$2:$D$64,Detail!$A$2:$A$64,A7)</f>
        <v>41</v>
      </c>
      <c r="E7" s="3" t="n">
        <f aca="false">SUMIFS(Detail!$E$2:$E$64,Detail!$A$2:$A$64,A7)</f>
        <v>13</v>
      </c>
      <c r="F7" s="3" t="n">
        <f aca="false">SUMIFS(Detail!$F$2:$F$64,Detail!$A$2:$A$64,A7)</f>
        <v>4</v>
      </c>
      <c r="G7" s="3" t="n">
        <f aca="false">E7+F7</f>
        <v>17</v>
      </c>
      <c r="H7" s="3" t="n">
        <f aca="false">IFERROR(ROUND(E7/D7,2),0)</f>
        <v>0.32</v>
      </c>
      <c r="I7" s="3" t="n">
        <f aca="false">COUNTIFS(Detail!$A$2:$A$64,A7,Detail!$G$2:$G$64,"Confirmé*")</f>
        <v>1</v>
      </c>
      <c r="J7" s="3" t="n">
        <f aca="false">COUNTIFS(Detail!$A$2:$A$64,A7,Detail!$G$2:$G$64,"Arbitré*")</f>
        <v>1</v>
      </c>
      <c r="K7" s="3" t="n">
        <f aca="false">COUNTIFS(Detail!$A$2:$A$64,A7,Detail!$G$2:$G$64,"Conservé*")</f>
        <v>4</v>
      </c>
      <c r="L7" s="3" t="s">
        <v>18</v>
      </c>
    </row>
    <row r="8" customFormat="false" ht="15" hidden="false" customHeight="true" outlineLevel="0" collapsed="false">
      <c r="A8" s="3" t="s">
        <v>28</v>
      </c>
      <c r="B8" s="3" t="s">
        <v>27</v>
      </c>
      <c r="C8" s="3" t="s">
        <v>20</v>
      </c>
      <c r="D8" s="3" t="n">
        <f aca="false">SUMIFS(Detail!$D$2:$D$64,Detail!$A$2:$A$64,A8)</f>
        <v>64</v>
      </c>
      <c r="E8" s="3" t="n">
        <f aca="false">SUMIFS(Detail!$E$2:$E$64,Detail!$A$2:$A$64,A8)</f>
        <v>72</v>
      </c>
      <c r="F8" s="3" t="n">
        <f aca="false">SUMIFS(Detail!$F$2:$F$64,Detail!$A$2:$A$64,A8)</f>
        <v>8</v>
      </c>
      <c r="G8" s="3" t="n">
        <f aca="false">E8+F8</f>
        <v>80</v>
      </c>
      <c r="H8" s="3" t="n">
        <f aca="false">IFERROR(ROUND(E8/D8,2),0)</f>
        <v>1.13</v>
      </c>
      <c r="I8" s="3" t="n">
        <f aca="false">COUNTIFS(Detail!$A$2:$A$64,A8,Detail!$G$2:$G$64,"Confirmé*")</f>
        <v>5</v>
      </c>
      <c r="J8" s="3" t="n">
        <f aca="false">COUNTIFS(Detail!$A$2:$A$64,A8,Detail!$G$2:$G$64,"Arbitré*")</f>
        <v>0</v>
      </c>
      <c r="K8" s="3" t="n">
        <f aca="false">COUNTIFS(Detail!$A$2:$A$64,A8,Detail!$G$2:$G$64,"Conservé*")</f>
        <v>1</v>
      </c>
      <c r="L8" s="3" t="s">
        <v>15</v>
      </c>
    </row>
    <row r="9" customFormat="false" ht="15" hidden="false" customHeight="true" outlineLevel="0" collapsed="false">
      <c r="A9" s="3" t="s">
        <v>29</v>
      </c>
      <c r="B9" s="3" t="s">
        <v>30</v>
      </c>
      <c r="C9" s="3" t="s">
        <v>31</v>
      </c>
      <c r="D9" s="3" t="n">
        <f aca="false">SUMIFS(Detail!$D$2:$D$64,Detail!$A$2:$A$64,A9)</f>
        <v>49</v>
      </c>
      <c r="E9" s="3" t="n">
        <f aca="false">SUMIFS(Detail!$E$2:$E$64,Detail!$A$2:$A$64,A9)</f>
        <v>48</v>
      </c>
      <c r="F9" s="3" t="n">
        <f aca="false">SUMIFS(Detail!$F$2:$F$64,Detail!$A$2:$A$64,A9)</f>
        <v>34</v>
      </c>
      <c r="G9" s="3" t="n">
        <f aca="false">E9+F9</f>
        <v>82</v>
      </c>
      <c r="H9" s="3" t="n">
        <f aca="false">IFERROR(ROUND(E9/D9,2),0)</f>
        <v>0.98</v>
      </c>
      <c r="I9" s="3" t="n">
        <f aca="false">COUNTIFS(Detail!$A$2:$A$64,A9,Detail!$G$2:$G$64,"Confirmé*")</f>
        <v>6</v>
      </c>
      <c r="J9" s="3" t="n">
        <f aca="false">COUNTIFS(Detail!$A$2:$A$64,A9,Detail!$G$2:$G$64,"Arbitré*")</f>
        <v>0</v>
      </c>
      <c r="K9" s="3" t="n">
        <f aca="false">COUNTIFS(Detail!$A$2:$A$64,A9,Detail!$G$2:$G$64,"Conservé*")</f>
        <v>0</v>
      </c>
      <c r="L9" s="3" t="s">
        <v>15</v>
      </c>
    </row>
    <row r="10" customFormat="false" ht="15" hidden="false" customHeight="true" outlineLevel="0" collapsed="false">
      <c r="A10" s="3" t="s">
        <v>32</v>
      </c>
      <c r="B10" s="3" t="s">
        <v>33</v>
      </c>
      <c r="C10" s="3" t="s">
        <v>17</v>
      </c>
      <c r="D10" s="3" t="n">
        <f aca="false">SUMIFS(Detail!$D$2:$D$64,Detail!$A$2:$A$64,A10)</f>
        <v>54</v>
      </c>
      <c r="E10" s="3" t="n">
        <f aca="false">SUMIFS(Detail!$E$2:$E$64,Detail!$A$2:$A$64,A10)</f>
        <v>20</v>
      </c>
      <c r="F10" s="3" t="n">
        <f aca="false">SUMIFS(Detail!$F$2:$F$64,Detail!$A$2:$A$64,A10)</f>
        <v>10</v>
      </c>
      <c r="G10" s="3" t="n">
        <f aca="false">E10+F10</f>
        <v>30</v>
      </c>
      <c r="H10" s="3" t="n">
        <f aca="false">IFERROR(ROUND(E10/D10,2),0)</f>
        <v>0.37</v>
      </c>
      <c r="I10" s="3" t="n">
        <f aca="false">COUNTIFS(Detail!$A$2:$A$64,A10,Detail!$G$2:$G$64,"Confirmé*")</f>
        <v>1</v>
      </c>
      <c r="J10" s="3" t="n">
        <f aca="false">COUNTIFS(Detail!$A$2:$A$64,A10,Detail!$G$2:$G$64,"Arbitré*")</f>
        <v>1</v>
      </c>
      <c r="K10" s="3" t="n">
        <f aca="false">COUNTIFS(Detail!$A$2:$A$64,A10,Detail!$G$2:$G$64,"Conservé*")</f>
        <v>5</v>
      </c>
      <c r="L10" s="3" t="s">
        <v>18</v>
      </c>
    </row>
    <row r="11" customFormat="false" ht="15" hidden="false" customHeight="true" outlineLevel="0" collapsed="false">
      <c r="A11" s="3" t="s">
        <v>34</v>
      </c>
      <c r="B11" s="3" t="s">
        <v>35</v>
      </c>
      <c r="C11" s="3" t="s">
        <v>23</v>
      </c>
      <c r="D11" s="3" t="n">
        <f aca="false">SUMIFS(Detail!$D$2:$D$64,Detail!$A$2:$A$64,A11)</f>
        <v>62</v>
      </c>
      <c r="E11" s="3" t="n">
        <f aca="false">SUMIFS(Detail!$E$2:$E$64,Detail!$A$2:$A$64,A11)</f>
        <v>57</v>
      </c>
      <c r="F11" s="3" t="n">
        <f aca="false">SUMIFS(Detail!$F$2:$F$64,Detail!$A$2:$A$64,A11)</f>
        <v>9</v>
      </c>
      <c r="G11" s="3" t="n">
        <f aca="false">E11+F11</f>
        <v>66</v>
      </c>
      <c r="H11" s="3" t="n">
        <f aca="false">IFERROR(ROUND(E11/D11,2),0)</f>
        <v>0.92</v>
      </c>
      <c r="I11" s="3" t="n">
        <f aca="false">COUNTIFS(Detail!$A$2:$A$64,A11,Detail!$G$2:$G$64,"Confirmé*")</f>
        <v>4</v>
      </c>
      <c r="J11" s="3" t="n">
        <f aca="false">COUNTIFS(Detail!$A$2:$A$64,A11,Detail!$G$2:$G$64,"Arbitré*")</f>
        <v>1</v>
      </c>
      <c r="K11" s="3" t="n">
        <f aca="false">COUNTIFS(Detail!$A$2:$A$64,A11,Detail!$G$2:$G$64,"Conservé*")</f>
        <v>1</v>
      </c>
      <c r="L11" s="3" t="s">
        <v>18</v>
      </c>
    </row>
    <row r="12" customFormat="false" ht="15" hidden="false" customHeight="true" outlineLevel="0" collapsed="false">
      <c r="A12" s="4" t="s">
        <v>36</v>
      </c>
      <c r="B12" s="4"/>
      <c r="C12" s="4"/>
      <c r="D12" s="4" t="n">
        <f aca="false">SUM(D2:D11)</f>
        <v>538</v>
      </c>
      <c r="E12" s="4" t="n">
        <f aca="false">SUM(E2:E11)</f>
        <v>344</v>
      </c>
      <c r="F12" s="4" t="n">
        <f aca="false">SUM(F2:F11)</f>
        <v>137</v>
      </c>
      <c r="G12" s="4" t="n">
        <f aca="false">SUM(G2:G11)</f>
        <v>481</v>
      </c>
      <c r="H12" s="4"/>
      <c r="I12" s="4" t="n">
        <f aca="false">SUM(I2:I11)</f>
        <v>29</v>
      </c>
      <c r="J12" s="4" t="n">
        <f aca="false">SUM(J2:J11)</f>
        <v>4</v>
      </c>
      <c r="K12" s="4" t="n">
        <f aca="false">SUM(K2:K11)</f>
        <v>25</v>
      </c>
      <c r="L12" s="4"/>
    </row>
    <row r="14" customFormat="false" ht="15" hidden="false" customHeight="true" outlineLevel="0" collapsed="false">
      <c r="A14" s="5" t="s">
        <v>37</v>
      </c>
    </row>
    <row r="15" customFormat="false" ht="15" hidden="false" customHeight="true" outlineLevel="0" collapsed="false">
      <c r="A15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6" min="4" style="1" width="9"/>
    <col collapsed="false" customWidth="true" hidden="false" outlineLevel="0" max="7" min="7" style="1" width="28"/>
    <col collapsed="false" customWidth="true" hidden="false" outlineLevel="0" max="8" min="8" style="1" width="48"/>
    <col collapsed="false" customWidth="true" hidden="false" outlineLevel="0" max="9" min="9" style="1" width="44"/>
  </cols>
  <sheetData>
    <row r="1" customFormat="false" ht="15" hidden="false" customHeight="true" outlineLevel="0" collapsed="false">
      <c r="A1" s="2" t="s">
        <v>0</v>
      </c>
      <c r="B1" s="2" t="s">
        <v>39</v>
      </c>
      <c r="C1" s="2" t="s">
        <v>40</v>
      </c>
      <c r="D1" s="2" t="s">
        <v>3</v>
      </c>
      <c r="E1" s="2" t="s">
        <v>4</v>
      </c>
      <c r="F1" s="2" t="s">
        <v>5</v>
      </c>
      <c r="G1" s="2" t="s">
        <v>41</v>
      </c>
      <c r="H1" s="2" t="s">
        <v>42</v>
      </c>
      <c r="I1" s="2" t="s">
        <v>43</v>
      </c>
    </row>
    <row r="2" customFormat="false" ht="15" hidden="false" customHeight="true" outlineLevel="0" collapsed="false">
      <c r="A2" s="6" t="s">
        <v>12</v>
      </c>
      <c r="B2" s="6" t="s">
        <v>44</v>
      </c>
      <c r="C2" s="6" t="s">
        <v>45</v>
      </c>
      <c r="D2" s="6" t="n">
        <v>31</v>
      </c>
      <c r="E2" s="6" t="n">
        <v>25</v>
      </c>
      <c r="F2" s="6" t="n">
        <v>5</v>
      </c>
      <c r="G2" s="7" t="s">
        <v>46</v>
      </c>
      <c r="H2" s="6" t="s">
        <v>47</v>
      </c>
      <c r="I2" s="6" t="s">
        <v>48</v>
      </c>
    </row>
    <row r="3" customFormat="false" ht="15" hidden="false" customHeight="true" outlineLevel="0" collapsed="false">
      <c r="A3" s="6" t="s">
        <v>12</v>
      </c>
      <c r="B3" s="6" t="s">
        <v>49</v>
      </c>
      <c r="C3" s="6" t="s">
        <v>50</v>
      </c>
      <c r="D3" s="6" t="n">
        <v>1</v>
      </c>
      <c r="E3" s="6" t="n">
        <v>2</v>
      </c>
      <c r="F3" s="6" t="n">
        <v>0</v>
      </c>
      <c r="G3" s="8" t="s">
        <v>51</v>
      </c>
      <c r="H3" s="6" t="s">
        <v>52</v>
      </c>
      <c r="I3" s="6"/>
    </row>
    <row r="4" customFormat="false" ht="15" hidden="false" customHeight="true" outlineLevel="0" collapsed="false">
      <c r="A4" s="6" t="s">
        <v>12</v>
      </c>
      <c r="B4" s="6" t="s">
        <v>53</v>
      </c>
      <c r="C4" s="6" t="s">
        <v>54</v>
      </c>
      <c r="D4" s="6" t="n">
        <v>11</v>
      </c>
      <c r="E4" s="6" t="n">
        <v>15</v>
      </c>
      <c r="F4" s="6" t="n">
        <v>1</v>
      </c>
      <c r="G4" s="7" t="s">
        <v>46</v>
      </c>
      <c r="H4" s="6" t="s">
        <v>55</v>
      </c>
      <c r="I4" s="6"/>
    </row>
    <row r="5" customFormat="false" ht="15" hidden="false" customHeight="true" outlineLevel="0" collapsed="false">
      <c r="A5" s="6" t="s">
        <v>12</v>
      </c>
      <c r="B5" s="6" t="s">
        <v>56</v>
      </c>
      <c r="C5" s="6" t="s">
        <v>57</v>
      </c>
      <c r="D5" s="6" t="n">
        <v>1</v>
      </c>
      <c r="E5" s="6" t="n">
        <v>0</v>
      </c>
      <c r="F5" s="6" t="s">
        <v>58</v>
      </c>
      <c r="G5" s="8" t="s">
        <v>51</v>
      </c>
      <c r="H5" s="6" t="s">
        <v>52</v>
      </c>
      <c r="I5" s="6"/>
    </row>
    <row r="6" customFormat="false" ht="15" hidden="false" customHeight="true" outlineLevel="0" collapsed="false">
      <c r="A6" s="6" t="s">
        <v>12</v>
      </c>
      <c r="B6" s="6" t="s">
        <v>59</v>
      </c>
      <c r="C6" s="6" t="s">
        <v>60</v>
      </c>
      <c r="D6" s="6" t="n">
        <v>8</v>
      </c>
      <c r="E6" s="6" t="n">
        <v>10</v>
      </c>
      <c r="F6" s="6" t="n">
        <v>4</v>
      </c>
      <c r="G6" s="9" t="s">
        <v>61</v>
      </c>
      <c r="H6" s="6" t="s">
        <v>62</v>
      </c>
      <c r="I6" s="6" t="s">
        <v>63</v>
      </c>
    </row>
    <row r="7" customFormat="false" ht="15" hidden="false" customHeight="true" outlineLevel="0" collapsed="false">
      <c r="A7" s="6" t="s">
        <v>12</v>
      </c>
      <c r="B7" s="6" t="s">
        <v>64</v>
      </c>
      <c r="C7" s="6" t="s">
        <v>65</v>
      </c>
      <c r="D7" s="6" t="n">
        <v>4</v>
      </c>
      <c r="E7" s="6" t="n">
        <v>5</v>
      </c>
      <c r="F7" s="6" t="s">
        <v>58</v>
      </c>
      <c r="G7" s="9" t="s">
        <v>61</v>
      </c>
      <c r="H7" s="6" t="s">
        <v>66</v>
      </c>
      <c r="I7" s="6" t="s">
        <v>67</v>
      </c>
    </row>
    <row r="8" customFormat="false" ht="23.25" hidden="false" customHeight="true" outlineLevel="0" collapsed="false">
      <c r="A8" s="6" t="s">
        <v>16</v>
      </c>
      <c r="B8" s="6" t="s">
        <v>68</v>
      </c>
      <c r="C8" s="6" t="s">
        <v>45</v>
      </c>
      <c r="D8" s="6" t="n">
        <v>22</v>
      </c>
      <c r="E8" s="6" t="n">
        <v>10</v>
      </c>
      <c r="F8" s="6" t="n">
        <v>7</v>
      </c>
      <c r="G8" s="10" t="s">
        <v>69</v>
      </c>
      <c r="H8" s="6" t="s">
        <v>70</v>
      </c>
      <c r="I8" s="6" t="s">
        <v>71</v>
      </c>
    </row>
    <row r="9" customFormat="false" ht="15" hidden="false" customHeight="true" outlineLevel="0" collapsed="false">
      <c r="A9" s="6" t="s">
        <v>16</v>
      </c>
      <c r="B9" s="6" t="s">
        <v>72</v>
      </c>
      <c r="C9" s="6" t="s">
        <v>50</v>
      </c>
      <c r="D9" s="6" t="n">
        <v>2</v>
      </c>
      <c r="E9" s="6" t="n">
        <v>1</v>
      </c>
      <c r="F9" s="6" t="s">
        <v>58</v>
      </c>
      <c r="G9" s="8" t="s">
        <v>73</v>
      </c>
      <c r="H9" s="6" t="s">
        <v>74</v>
      </c>
      <c r="I9" s="6" t="s">
        <v>75</v>
      </c>
    </row>
    <row r="10" customFormat="false" ht="15" hidden="false" customHeight="true" outlineLevel="0" collapsed="false">
      <c r="A10" s="6" t="s">
        <v>16</v>
      </c>
      <c r="B10" s="6" t="s">
        <v>53</v>
      </c>
      <c r="C10" s="6" t="s">
        <v>54</v>
      </c>
      <c r="D10" s="6" t="n">
        <v>13</v>
      </c>
      <c r="E10" s="6" t="n">
        <v>8</v>
      </c>
      <c r="F10" s="6" t="n">
        <v>2</v>
      </c>
      <c r="G10" s="8" t="s">
        <v>73</v>
      </c>
      <c r="H10" s="6" t="s">
        <v>76</v>
      </c>
      <c r="I10" s="6" t="s">
        <v>77</v>
      </c>
    </row>
    <row r="11" customFormat="false" ht="15" hidden="false" customHeight="true" outlineLevel="0" collapsed="false">
      <c r="A11" s="6" t="s">
        <v>16</v>
      </c>
      <c r="B11" s="6" t="s">
        <v>78</v>
      </c>
      <c r="C11" s="6" t="s">
        <v>78</v>
      </c>
      <c r="D11" s="6" t="n">
        <v>1</v>
      </c>
      <c r="E11" s="6" t="n">
        <v>1</v>
      </c>
      <c r="F11" s="6" t="s">
        <v>58</v>
      </c>
      <c r="G11" s="9" t="s">
        <v>61</v>
      </c>
      <c r="H11" s="6" t="s">
        <v>79</v>
      </c>
      <c r="I11" s="6"/>
    </row>
    <row r="12" customFormat="false" ht="15" hidden="false" customHeight="true" outlineLevel="0" collapsed="false">
      <c r="A12" s="6" t="s">
        <v>16</v>
      </c>
      <c r="B12" s="6" t="s">
        <v>80</v>
      </c>
      <c r="C12" s="6" t="s">
        <v>80</v>
      </c>
      <c r="D12" s="6" t="n">
        <v>1</v>
      </c>
      <c r="E12" s="6" t="n">
        <v>0</v>
      </c>
      <c r="F12" s="6" t="s">
        <v>58</v>
      </c>
      <c r="G12" s="8" t="s">
        <v>73</v>
      </c>
      <c r="H12" s="6" t="s">
        <v>76</v>
      </c>
      <c r="I12" s="6" t="s">
        <v>75</v>
      </c>
    </row>
    <row r="13" customFormat="false" ht="15" hidden="false" customHeight="true" outlineLevel="0" collapsed="false">
      <c r="A13" s="6" t="s">
        <v>16</v>
      </c>
      <c r="B13" s="6" t="s">
        <v>81</v>
      </c>
      <c r="C13" s="6" t="s">
        <v>81</v>
      </c>
      <c r="D13" s="6" t="n">
        <v>1</v>
      </c>
      <c r="E13" s="6" t="n">
        <v>0</v>
      </c>
      <c r="F13" s="6" t="s">
        <v>58</v>
      </c>
      <c r="G13" s="8" t="s">
        <v>73</v>
      </c>
      <c r="H13" s="6" t="s">
        <v>76</v>
      </c>
      <c r="I13" s="6" t="s">
        <v>75</v>
      </c>
    </row>
    <row r="14" customFormat="false" ht="15" hidden="false" customHeight="true" outlineLevel="0" collapsed="false">
      <c r="A14" s="6" t="s">
        <v>16</v>
      </c>
      <c r="B14" s="6" t="s">
        <v>59</v>
      </c>
      <c r="C14" s="6" t="s">
        <v>60</v>
      </c>
      <c r="D14" s="6" t="n">
        <v>8</v>
      </c>
      <c r="E14" s="6" t="n">
        <v>6</v>
      </c>
      <c r="F14" s="6" t="n">
        <v>2</v>
      </c>
      <c r="G14" s="9" t="s">
        <v>61</v>
      </c>
      <c r="H14" s="6" t="s">
        <v>82</v>
      </c>
      <c r="I14" s="6" t="s">
        <v>83</v>
      </c>
    </row>
    <row r="15" customFormat="false" ht="15" hidden="false" customHeight="true" outlineLevel="0" collapsed="false">
      <c r="A15" s="6" t="s">
        <v>16</v>
      </c>
      <c r="B15" s="6" t="s">
        <v>64</v>
      </c>
      <c r="C15" s="6" t="s">
        <v>65</v>
      </c>
      <c r="D15" s="6" t="n">
        <v>1</v>
      </c>
      <c r="E15" s="6" t="n">
        <v>0</v>
      </c>
      <c r="F15" s="6" t="s">
        <v>58</v>
      </c>
      <c r="G15" s="8" t="s">
        <v>73</v>
      </c>
      <c r="H15" s="6" t="s">
        <v>76</v>
      </c>
      <c r="I15" s="6" t="s">
        <v>75</v>
      </c>
    </row>
    <row r="16" customFormat="false" ht="15" hidden="false" customHeight="true" outlineLevel="0" collapsed="false">
      <c r="A16" s="6" t="s">
        <v>19</v>
      </c>
      <c r="B16" s="6" t="s">
        <v>84</v>
      </c>
      <c r="C16" s="6" t="s">
        <v>45</v>
      </c>
      <c r="D16" s="6" t="n">
        <v>32</v>
      </c>
      <c r="E16" s="6" t="n">
        <v>15</v>
      </c>
      <c r="F16" s="6" t="n">
        <v>19</v>
      </c>
      <c r="G16" s="7" t="s">
        <v>46</v>
      </c>
      <c r="H16" s="6" t="s">
        <v>85</v>
      </c>
      <c r="I16" s="6"/>
    </row>
    <row r="17" customFormat="false" ht="15" hidden="false" customHeight="true" outlineLevel="0" collapsed="false">
      <c r="A17" s="6" t="s">
        <v>19</v>
      </c>
      <c r="B17" s="6" t="s">
        <v>86</v>
      </c>
      <c r="C17" s="6" t="s">
        <v>50</v>
      </c>
      <c r="D17" s="6" t="n">
        <v>6</v>
      </c>
      <c r="E17" s="6" t="n">
        <v>2</v>
      </c>
      <c r="F17" s="6" t="n">
        <v>1</v>
      </c>
      <c r="G17" s="8" t="s">
        <v>73</v>
      </c>
      <c r="H17" s="6" t="s">
        <v>76</v>
      </c>
      <c r="I17" s="6" t="s">
        <v>75</v>
      </c>
    </row>
    <row r="18" customFormat="false" ht="15" hidden="false" customHeight="true" outlineLevel="0" collapsed="false">
      <c r="A18" s="6" t="s">
        <v>19</v>
      </c>
      <c r="B18" s="6" t="s">
        <v>53</v>
      </c>
      <c r="C18" s="6" t="s">
        <v>54</v>
      </c>
      <c r="D18" s="6" t="n">
        <v>13</v>
      </c>
      <c r="E18" s="6" t="n">
        <v>5</v>
      </c>
      <c r="F18" s="6" t="n">
        <v>8</v>
      </c>
      <c r="G18" s="9" t="s">
        <v>61</v>
      </c>
      <c r="H18" s="6" t="s">
        <v>87</v>
      </c>
      <c r="I18" s="6" t="s">
        <v>88</v>
      </c>
    </row>
    <row r="19" customFormat="false" ht="15" hidden="false" customHeight="true" outlineLevel="0" collapsed="false">
      <c r="A19" s="6" t="s">
        <v>19</v>
      </c>
      <c r="B19" s="6" t="s">
        <v>89</v>
      </c>
      <c r="C19" s="6" t="s">
        <v>57</v>
      </c>
      <c r="D19" s="6" t="n">
        <v>1</v>
      </c>
      <c r="E19" s="6" t="n">
        <v>0</v>
      </c>
      <c r="F19" s="6" t="s">
        <v>58</v>
      </c>
      <c r="G19" s="8" t="s">
        <v>73</v>
      </c>
      <c r="H19" s="6" t="s">
        <v>76</v>
      </c>
      <c r="I19" s="6" t="s">
        <v>75</v>
      </c>
    </row>
    <row r="20" customFormat="false" ht="15" hidden="false" customHeight="true" outlineLevel="0" collapsed="false">
      <c r="A20" s="6" t="s">
        <v>19</v>
      </c>
      <c r="B20" s="6" t="s">
        <v>59</v>
      </c>
      <c r="C20" s="6" t="s">
        <v>60</v>
      </c>
      <c r="D20" s="6" t="n">
        <v>8</v>
      </c>
      <c r="E20" s="6" t="n">
        <v>0</v>
      </c>
      <c r="F20" s="6" t="n">
        <v>7</v>
      </c>
      <c r="G20" s="9" t="s">
        <v>61</v>
      </c>
      <c r="H20" s="6" t="s">
        <v>90</v>
      </c>
      <c r="I20" s="6"/>
    </row>
    <row r="21" customFormat="false" ht="15" hidden="false" customHeight="true" outlineLevel="0" collapsed="false">
      <c r="A21" s="6" t="s">
        <v>19</v>
      </c>
      <c r="B21" s="6" t="s">
        <v>64</v>
      </c>
      <c r="C21" s="6" t="s">
        <v>65</v>
      </c>
      <c r="D21" s="6" t="n">
        <v>5</v>
      </c>
      <c r="E21" s="6" t="n">
        <v>2</v>
      </c>
      <c r="F21" s="6" t="s">
        <v>58</v>
      </c>
      <c r="G21" s="8" t="s">
        <v>73</v>
      </c>
      <c r="H21" s="6" t="s">
        <v>76</v>
      </c>
      <c r="I21" s="6" t="s">
        <v>75</v>
      </c>
    </row>
    <row r="22" customFormat="false" ht="15" hidden="false" customHeight="true" outlineLevel="0" collapsed="false">
      <c r="A22" s="6" t="s">
        <v>21</v>
      </c>
      <c r="B22" s="6" t="s">
        <v>91</v>
      </c>
      <c r="C22" s="6" t="s">
        <v>45</v>
      </c>
      <c r="D22" s="6" t="n">
        <v>21</v>
      </c>
      <c r="E22" s="6" t="n">
        <v>1</v>
      </c>
      <c r="F22" s="6" t="n">
        <v>0</v>
      </c>
      <c r="G22" s="9" t="s">
        <v>61</v>
      </c>
      <c r="H22" s="6" t="s">
        <v>92</v>
      </c>
      <c r="I22" s="6"/>
    </row>
    <row r="23" customFormat="false" ht="15" hidden="false" customHeight="true" outlineLevel="0" collapsed="false">
      <c r="A23" s="6" t="s">
        <v>21</v>
      </c>
      <c r="B23" s="6" t="s">
        <v>93</v>
      </c>
      <c r="C23" s="6" t="s">
        <v>50</v>
      </c>
      <c r="D23" s="6" t="n">
        <v>4</v>
      </c>
      <c r="E23" s="6" t="n">
        <v>1</v>
      </c>
      <c r="F23" s="6" t="s">
        <v>58</v>
      </c>
      <c r="G23" s="8" t="s">
        <v>73</v>
      </c>
      <c r="H23" s="6" t="s">
        <v>76</v>
      </c>
      <c r="I23" s="6" t="s">
        <v>75</v>
      </c>
    </row>
    <row r="24" customFormat="false" ht="15" hidden="false" customHeight="true" outlineLevel="0" collapsed="false">
      <c r="A24" s="6" t="s">
        <v>21</v>
      </c>
      <c r="B24" s="6" t="s">
        <v>94</v>
      </c>
      <c r="C24" s="6" t="s">
        <v>95</v>
      </c>
      <c r="D24" s="6" t="n">
        <v>3</v>
      </c>
      <c r="E24" s="6" t="n">
        <v>0</v>
      </c>
      <c r="F24" s="6" t="s">
        <v>58</v>
      </c>
      <c r="G24" s="8" t="s">
        <v>73</v>
      </c>
      <c r="H24" s="6" t="s">
        <v>76</v>
      </c>
      <c r="I24" s="6" t="s">
        <v>75</v>
      </c>
    </row>
    <row r="25" customFormat="false" ht="15" hidden="false" customHeight="true" outlineLevel="0" collapsed="false">
      <c r="A25" s="6" t="s">
        <v>21</v>
      </c>
      <c r="B25" s="6" t="s">
        <v>53</v>
      </c>
      <c r="C25" s="6" t="s">
        <v>54</v>
      </c>
      <c r="D25" s="6" t="n">
        <v>5</v>
      </c>
      <c r="E25" s="6" t="n">
        <v>0</v>
      </c>
      <c r="F25" s="6" t="s">
        <v>58</v>
      </c>
      <c r="G25" s="8" t="s">
        <v>73</v>
      </c>
      <c r="H25" s="6" t="s">
        <v>76</v>
      </c>
      <c r="I25" s="6" t="s">
        <v>75</v>
      </c>
    </row>
    <row r="26" customFormat="false" ht="15" hidden="false" customHeight="true" outlineLevel="0" collapsed="false">
      <c r="A26" s="6" t="s">
        <v>21</v>
      </c>
      <c r="B26" s="6" t="s">
        <v>59</v>
      </c>
      <c r="C26" s="6" t="s">
        <v>60</v>
      </c>
      <c r="D26" s="6" t="n">
        <v>8</v>
      </c>
      <c r="E26" s="6" t="n">
        <v>0</v>
      </c>
      <c r="F26" s="6" t="n">
        <v>0</v>
      </c>
      <c r="G26" s="8" t="s">
        <v>73</v>
      </c>
      <c r="H26" s="6" t="s">
        <v>96</v>
      </c>
      <c r="I26" s="6" t="s">
        <v>75</v>
      </c>
    </row>
    <row r="27" customFormat="false" ht="15" hidden="false" customHeight="true" outlineLevel="0" collapsed="false">
      <c r="A27" s="6" t="s">
        <v>21</v>
      </c>
      <c r="B27" s="6" t="s">
        <v>64</v>
      </c>
      <c r="C27" s="6" t="s">
        <v>65</v>
      </c>
      <c r="D27" s="6" t="n">
        <v>2</v>
      </c>
      <c r="E27" s="6" t="n">
        <v>0</v>
      </c>
      <c r="F27" s="6" t="s">
        <v>58</v>
      </c>
      <c r="G27" s="8" t="s">
        <v>73</v>
      </c>
      <c r="H27" s="6" t="s">
        <v>76</v>
      </c>
      <c r="I27" s="6" t="s">
        <v>75</v>
      </c>
    </row>
    <row r="28" customFormat="false" ht="15" hidden="false" customHeight="true" outlineLevel="0" collapsed="false">
      <c r="A28" s="6" t="s">
        <v>24</v>
      </c>
      <c r="B28" s="6" t="s">
        <v>44</v>
      </c>
      <c r="C28" s="6" t="s">
        <v>45</v>
      </c>
      <c r="D28" s="6" t="n">
        <v>28</v>
      </c>
      <c r="E28" s="6" t="n">
        <v>16</v>
      </c>
      <c r="F28" s="6" t="n">
        <v>12</v>
      </c>
      <c r="G28" s="7" t="s">
        <v>46</v>
      </c>
      <c r="H28" s="6" t="s">
        <v>97</v>
      </c>
      <c r="I28" s="6" t="s">
        <v>98</v>
      </c>
    </row>
    <row r="29" customFormat="false" ht="15" hidden="false" customHeight="true" outlineLevel="0" collapsed="false">
      <c r="A29" s="6" t="s">
        <v>24</v>
      </c>
      <c r="B29" s="6" t="s">
        <v>49</v>
      </c>
      <c r="C29" s="6" t="s">
        <v>50</v>
      </c>
      <c r="D29" s="6" t="n">
        <v>5</v>
      </c>
      <c r="E29" s="6" t="n">
        <v>2</v>
      </c>
      <c r="F29" s="6" t="s">
        <v>58</v>
      </c>
      <c r="G29" s="8" t="s">
        <v>51</v>
      </c>
      <c r="H29" s="6" t="s">
        <v>99</v>
      </c>
      <c r="I29" s="6"/>
    </row>
    <row r="30" customFormat="false" ht="15" hidden="false" customHeight="true" outlineLevel="0" collapsed="false">
      <c r="A30" s="6" t="s">
        <v>24</v>
      </c>
      <c r="B30" s="6" t="s">
        <v>53</v>
      </c>
      <c r="C30" s="6" t="s">
        <v>54</v>
      </c>
      <c r="D30" s="6" t="n">
        <v>10</v>
      </c>
      <c r="E30" s="6" t="n">
        <v>6</v>
      </c>
      <c r="F30" s="6" t="n">
        <v>4</v>
      </c>
      <c r="G30" s="8" t="s">
        <v>51</v>
      </c>
      <c r="H30" s="6" t="s">
        <v>99</v>
      </c>
      <c r="I30" s="6"/>
    </row>
    <row r="31" customFormat="false" ht="15" hidden="false" customHeight="true" outlineLevel="0" collapsed="false">
      <c r="A31" s="6" t="s">
        <v>24</v>
      </c>
      <c r="B31" s="6" t="s">
        <v>56</v>
      </c>
      <c r="C31" s="6" t="s">
        <v>57</v>
      </c>
      <c r="D31" s="6" t="n">
        <v>2</v>
      </c>
      <c r="E31" s="6" t="n">
        <v>0</v>
      </c>
      <c r="F31" s="6" t="s">
        <v>58</v>
      </c>
      <c r="G31" s="8" t="s">
        <v>51</v>
      </c>
      <c r="H31" s="6" t="s">
        <v>99</v>
      </c>
      <c r="I31" s="6"/>
    </row>
    <row r="32" customFormat="false" ht="15" hidden="false" customHeight="true" outlineLevel="0" collapsed="false">
      <c r="A32" s="6" t="s">
        <v>24</v>
      </c>
      <c r="B32" s="6" t="s">
        <v>59</v>
      </c>
      <c r="C32" s="6" t="s">
        <v>60</v>
      </c>
      <c r="D32" s="6" t="n">
        <v>8</v>
      </c>
      <c r="E32" s="6" t="n">
        <v>1</v>
      </c>
      <c r="F32" s="6" t="n">
        <v>0</v>
      </c>
      <c r="G32" s="9" t="s">
        <v>61</v>
      </c>
      <c r="H32" s="6" t="s">
        <v>100</v>
      </c>
      <c r="I32" s="6"/>
    </row>
    <row r="33" customFormat="false" ht="15" hidden="false" customHeight="true" outlineLevel="0" collapsed="false">
      <c r="A33" s="6" t="s">
        <v>24</v>
      </c>
      <c r="B33" s="6" t="s">
        <v>64</v>
      </c>
      <c r="C33" s="6" t="s">
        <v>65</v>
      </c>
      <c r="D33" s="6" t="n">
        <v>2</v>
      </c>
      <c r="E33" s="6" t="n">
        <v>0</v>
      </c>
      <c r="F33" s="6" t="s">
        <v>58</v>
      </c>
      <c r="G33" s="8" t="s">
        <v>73</v>
      </c>
      <c r="H33" s="6" t="s">
        <v>76</v>
      </c>
      <c r="I33" s="6" t="s">
        <v>75</v>
      </c>
    </row>
    <row r="34" customFormat="false" ht="15" hidden="false" customHeight="true" outlineLevel="0" collapsed="false">
      <c r="A34" s="6" t="s">
        <v>26</v>
      </c>
      <c r="B34" s="6" t="s">
        <v>44</v>
      </c>
      <c r="C34" s="6" t="s">
        <v>45</v>
      </c>
      <c r="D34" s="6" t="n">
        <v>19</v>
      </c>
      <c r="E34" s="6" t="n">
        <v>4</v>
      </c>
      <c r="F34" s="6" t="n">
        <v>3</v>
      </c>
      <c r="G34" s="10" t="s">
        <v>69</v>
      </c>
      <c r="H34" s="6" t="s">
        <v>101</v>
      </c>
      <c r="I34" s="6" t="s">
        <v>102</v>
      </c>
    </row>
    <row r="35" customFormat="false" ht="15" hidden="false" customHeight="true" outlineLevel="0" collapsed="false">
      <c r="A35" s="6" t="s">
        <v>26</v>
      </c>
      <c r="B35" s="6" t="s">
        <v>49</v>
      </c>
      <c r="C35" s="6" t="s">
        <v>50</v>
      </c>
      <c r="D35" s="6" t="n">
        <v>1</v>
      </c>
      <c r="E35" s="6" t="n">
        <v>0</v>
      </c>
      <c r="F35" s="6" t="s">
        <v>58</v>
      </c>
      <c r="G35" s="8" t="s">
        <v>73</v>
      </c>
      <c r="H35" s="6" t="s">
        <v>103</v>
      </c>
      <c r="I35" s="6" t="s">
        <v>75</v>
      </c>
    </row>
    <row r="36" customFormat="false" ht="23.25" hidden="false" customHeight="true" outlineLevel="0" collapsed="false">
      <c r="A36" s="6" t="s">
        <v>26</v>
      </c>
      <c r="B36" s="6" t="s">
        <v>53</v>
      </c>
      <c r="C36" s="6" t="s">
        <v>54</v>
      </c>
      <c r="D36" s="6" t="n">
        <v>9</v>
      </c>
      <c r="E36" s="6" t="n">
        <v>2</v>
      </c>
      <c r="F36" s="6" t="s">
        <v>58</v>
      </c>
      <c r="G36" s="8" t="s">
        <v>73</v>
      </c>
      <c r="H36" s="6" t="s">
        <v>104</v>
      </c>
      <c r="I36" s="6" t="s">
        <v>75</v>
      </c>
    </row>
    <row r="37" customFormat="false" ht="15" hidden="false" customHeight="true" outlineLevel="0" collapsed="false">
      <c r="A37" s="6" t="s">
        <v>26</v>
      </c>
      <c r="B37" s="6" t="s">
        <v>56</v>
      </c>
      <c r="C37" s="6" t="s">
        <v>57</v>
      </c>
      <c r="D37" s="6" t="n">
        <v>2</v>
      </c>
      <c r="E37" s="6" t="n">
        <v>0</v>
      </c>
      <c r="F37" s="6" t="s">
        <v>58</v>
      </c>
      <c r="G37" s="8" t="s">
        <v>73</v>
      </c>
      <c r="H37" s="6" t="s">
        <v>105</v>
      </c>
      <c r="I37" s="6" t="s">
        <v>75</v>
      </c>
    </row>
    <row r="38" customFormat="false" ht="15" hidden="false" customHeight="true" outlineLevel="0" collapsed="false">
      <c r="A38" s="6" t="s">
        <v>26</v>
      </c>
      <c r="B38" s="6" t="s">
        <v>59</v>
      </c>
      <c r="C38" s="6" t="s">
        <v>60</v>
      </c>
      <c r="D38" s="6" t="n">
        <v>8</v>
      </c>
      <c r="E38" s="6" t="n">
        <v>7</v>
      </c>
      <c r="F38" s="6" t="n">
        <v>1</v>
      </c>
      <c r="G38" s="9" t="s">
        <v>61</v>
      </c>
      <c r="H38" s="6" t="s">
        <v>106</v>
      </c>
      <c r="I38" s="6"/>
    </row>
    <row r="39" customFormat="false" ht="15" hidden="false" customHeight="true" outlineLevel="0" collapsed="false">
      <c r="A39" s="6" t="s">
        <v>26</v>
      </c>
      <c r="B39" s="6" t="s">
        <v>64</v>
      </c>
      <c r="C39" s="6" t="s">
        <v>65</v>
      </c>
      <c r="D39" s="6" t="n">
        <v>2</v>
      </c>
      <c r="E39" s="6" t="n">
        <v>0</v>
      </c>
      <c r="F39" s="6" t="s">
        <v>58</v>
      </c>
      <c r="G39" s="8" t="s">
        <v>73</v>
      </c>
      <c r="H39" s="6" t="s">
        <v>76</v>
      </c>
      <c r="I39" s="6" t="s">
        <v>75</v>
      </c>
    </row>
    <row r="40" customFormat="false" ht="15" hidden="false" customHeight="true" outlineLevel="0" collapsed="false">
      <c r="A40" s="6" t="s">
        <v>28</v>
      </c>
      <c r="B40" s="6" t="s">
        <v>84</v>
      </c>
      <c r="C40" s="6" t="s">
        <v>45</v>
      </c>
      <c r="D40" s="6" t="n">
        <v>31</v>
      </c>
      <c r="E40" s="6" t="n">
        <v>36</v>
      </c>
      <c r="F40" s="6" t="n">
        <v>5</v>
      </c>
      <c r="G40" s="7" t="s">
        <v>46</v>
      </c>
      <c r="H40" s="6" t="s">
        <v>107</v>
      </c>
      <c r="I40" s="6"/>
    </row>
    <row r="41" customFormat="false" ht="15" hidden="false" customHeight="true" outlineLevel="0" collapsed="false">
      <c r="A41" s="6" t="s">
        <v>28</v>
      </c>
      <c r="B41" s="6" t="s">
        <v>86</v>
      </c>
      <c r="C41" s="6" t="s">
        <v>50</v>
      </c>
      <c r="D41" s="6" t="n">
        <v>6</v>
      </c>
      <c r="E41" s="6" t="n">
        <v>10</v>
      </c>
      <c r="F41" s="6" t="n">
        <v>0</v>
      </c>
      <c r="G41" s="7" t="s">
        <v>46</v>
      </c>
      <c r="H41" s="6" t="s">
        <v>108</v>
      </c>
      <c r="I41" s="6"/>
    </row>
    <row r="42" customFormat="false" ht="15" hidden="false" customHeight="true" outlineLevel="0" collapsed="false">
      <c r="A42" s="6" t="s">
        <v>28</v>
      </c>
      <c r="B42" s="6" t="s">
        <v>53</v>
      </c>
      <c r="C42" s="6" t="s">
        <v>54</v>
      </c>
      <c r="D42" s="6" t="n">
        <v>13</v>
      </c>
      <c r="E42" s="6" t="n">
        <v>14</v>
      </c>
      <c r="F42" s="6" t="n">
        <v>2</v>
      </c>
      <c r="G42" s="7" t="s">
        <v>46</v>
      </c>
      <c r="H42" s="6" t="s">
        <v>109</v>
      </c>
      <c r="I42" s="6"/>
    </row>
    <row r="43" customFormat="false" ht="15" hidden="false" customHeight="true" outlineLevel="0" collapsed="false">
      <c r="A43" s="6" t="s">
        <v>28</v>
      </c>
      <c r="B43" s="6" t="s">
        <v>89</v>
      </c>
      <c r="C43" s="6" t="s">
        <v>57</v>
      </c>
      <c r="D43" s="6" t="n">
        <v>1</v>
      </c>
      <c r="E43" s="6" t="n">
        <v>1</v>
      </c>
      <c r="F43" s="6" t="s">
        <v>58</v>
      </c>
      <c r="G43" s="7" t="s">
        <v>46</v>
      </c>
      <c r="H43" s="6" t="s">
        <v>110</v>
      </c>
      <c r="I43" s="6"/>
    </row>
    <row r="44" customFormat="false" ht="15" hidden="false" customHeight="true" outlineLevel="0" collapsed="false">
      <c r="A44" s="6" t="s">
        <v>28</v>
      </c>
      <c r="B44" s="6" t="s">
        <v>59</v>
      </c>
      <c r="C44" s="6" t="s">
        <v>60</v>
      </c>
      <c r="D44" s="6" t="n">
        <v>8</v>
      </c>
      <c r="E44" s="6" t="n">
        <v>6</v>
      </c>
      <c r="F44" s="6" t="n">
        <v>1</v>
      </c>
      <c r="G44" s="9" t="s">
        <v>61</v>
      </c>
      <c r="H44" s="6" t="s">
        <v>111</v>
      </c>
      <c r="I44" s="6" t="s">
        <v>112</v>
      </c>
    </row>
    <row r="45" customFormat="false" ht="15" hidden="false" customHeight="true" outlineLevel="0" collapsed="false">
      <c r="A45" s="6" t="s">
        <v>28</v>
      </c>
      <c r="B45" s="6" t="s">
        <v>64</v>
      </c>
      <c r="C45" s="6" t="s">
        <v>65</v>
      </c>
      <c r="D45" s="6" t="n">
        <v>5</v>
      </c>
      <c r="E45" s="6" t="n">
        <v>5</v>
      </c>
      <c r="F45" s="6" t="s">
        <v>58</v>
      </c>
      <c r="G45" s="8" t="s">
        <v>73</v>
      </c>
      <c r="H45" s="6" t="s">
        <v>113</v>
      </c>
      <c r="I45" s="6" t="s">
        <v>75</v>
      </c>
    </row>
    <row r="46" customFormat="false" ht="15" hidden="false" customHeight="true" outlineLevel="0" collapsed="false">
      <c r="A46" s="6" t="s">
        <v>29</v>
      </c>
      <c r="B46" s="6" t="s">
        <v>114</v>
      </c>
      <c r="C46" s="6" t="s">
        <v>45</v>
      </c>
      <c r="D46" s="6" t="n">
        <v>28</v>
      </c>
      <c r="E46" s="6" t="n">
        <v>29</v>
      </c>
      <c r="F46" s="6" t="n">
        <v>19</v>
      </c>
      <c r="G46" s="7" t="s">
        <v>46</v>
      </c>
      <c r="H46" s="6" t="s">
        <v>115</v>
      </c>
      <c r="I46" s="6" t="s">
        <v>116</v>
      </c>
    </row>
    <row r="47" customFormat="false" ht="15" hidden="false" customHeight="true" outlineLevel="0" collapsed="false">
      <c r="A47" s="6" t="s">
        <v>29</v>
      </c>
      <c r="B47" s="6" t="s">
        <v>117</v>
      </c>
      <c r="C47" s="6" t="s">
        <v>54</v>
      </c>
      <c r="D47" s="6" t="n">
        <v>2</v>
      </c>
      <c r="E47" s="6" t="n">
        <v>1</v>
      </c>
      <c r="F47" s="6" t="n">
        <v>0</v>
      </c>
      <c r="G47" s="7" t="s">
        <v>46</v>
      </c>
      <c r="H47" s="6" t="s">
        <v>118</v>
      </c>
      <c r="I47" s="6"/>
    </row>
    <row r="48" customFormat="false" ht="15" hidden="false" customHeight="true" outlineLevel="0" collapsed="false">
      <c r="A48" s="6" t="s">
        <v>29</v>
      </c>
      <c r="B48" s="6" t="s">
        <v>119</v>
      </c>
      <c r="C48" s="6" t="s">
        <v>120</v>
      </c>
      <c r="D48" s="6" t="n">
        <v>6</v>
      </c>
      <c r="E48" s="6" t="n">
        <v>6</v>
      </c>
      <c r="F48" s="6" t="n">
        <v>9</v>
      </c>
      <c r="G48" s="7" t="s">
        <v>46</v>
      </c>
      <c r="H48" s="6" t="s">
        <v>121</v>
      </c>
      <c r="I48" s="6"/>
    </row>
    <row r="49" customFormat="false" ht="15" hidden="false" customHeight="true" outlineLevel="0" collapsed="false">
      <c r="A49" s="6" t="s">
        <v>29</v>
      </c>
      <c r="B49" s="6" t="s">
        <v>122</v>
      </c>
      <c r="C49" s="6" t="s">
        <v>122</v>
      </c>
      <c r="D49" s="6" t="n">
        <v>4</v>
      </c>
      <c r="E49" s="6" t="n">
        <v>2</v>
      </c>
      <c r="F49" s="6" t="n">
        <v>2</v>
      </c>
      <c r="G49" s="9" t="s">
        <v>61</v>
      </c>
      <c r="H49" s="6" t="s">
        <v>123</v>
      </c>
      <c r="I49" s="6" t="s">
        <v>83</v>
      </c>
    </row>
    <row r="50" customFormat="false" ht="15" hidden="false" customHeight="true" outlineLevel="0" collapsed="false">
      <c r="A50" s="6" t="s">
        <v>29</v>
      </c>
      <c r="B50" s="6" t="s">
        <v>59</v>
      </c>
      <c r="C50" s="6" t="s">
        <v>60</v>
      </c>
      <c r="D50" s="6" t="n">
        <v>8</v>
      </c>
      <c r="E50" s="6" t="n">
        <v>8</v>
      </c>
      <c r="F50" s="6" t="n">
        <v>4</v>
      </c>
      <c r="G50" s="9" t="s">
        <v>61</v>
      </c>
      <c r="H50" s="6" t="s">
        <v>124</v>
      </c>
      <c r="I50" s="6"/>
    </row>
    <row r="51" customFormat="false" ht="23.25" hidden="false" customHeight="true" outlineLevel="0" collapsed="false">
      <c r="A51" s="6" t="s">
        <v>29</v>
      </c>
      <c r="B51" s="6" t="s">
        <v>125</v>
      </c>
      <c r="C51" s="6" t="s">
        <v>65</v>
      </c>
      <c r="D51" s="6" t="n">
        <v>1</v>
      </c>
      <c r="E51" s="6" t="n">
        <v>2</v>
      </c>
      <c r="F51" s="6" t="s">
        <v>58</v>
      </c>
      <c r="G51" s="9" t="s">
        <v>61</v>
      </c>
      <c r="H51" s="6" t="s">
        <v>76</v>
      </c>
      <c r="I51" s="6" t="s">
        <v>126</v>
      </c>
    </row>
    <row r="52" customFormat="false" ht="23.25" hidden="false" customHeight="true" outlineLevel="0" collapsed="false">
      <c r="A52" s="6" t="s">
        <v>32</v>
      </c>
      <c r="B52" s="6" t="s">
        <v>68</v>
      </c>
      <c r="C52" s="6" t="s">
        <v>45</v>
      </c>
      <c r="D52" s="6" t="n">
        <v>28</v>
      </c>
      <c r="E52" s="6" t="n">
        <v>7</v>
      </c>
      <c r="F52" s="6" t="n">
        <v>4</v>
      </c>
      <c r="G52" s="10" t="s">
        <v>69</v>
      </c>
      <c r="H52" s="6" t="s">
        <v>127</v>
      </c>
      <c r="I52" s="6" t="s">
        <v>128</v>
      </c>
    </row>
    <row r="53" customFormat="false" ht="15" hidden="false" customHeight="true" outlineLevel="0" collapsed="false">
      <c r="A53" s="6" t="s">
        <v>32</v>
      </c>
      <c r="B53" s="6" t="s">
        <v>72</v>
      </c>
      <c r="C53" s="6" t="s">
        <v>50</v>
      </c>
      <c r="D53" s="6" t="n">
        <v>1</v>
      </c>
      <c r="E53" s="6" t="n">
        <v>0</v>
      </c>
      <c r="F53" s="6" t="s">
        <v>58</v>
      </c>
      <c r="G53" s="8" t="s">
        <v>73</v>
      </c>
      <c r="H53" s="6" t="s">
        <v>76</v>
      </c>
      <c r="I53" s="6" t="s">
        <v>75</v>
      </c>
    </row>
    <row r="54" customFormat="false" ht="15" hidden="false" customHeight="true" outlineLevel="0" collapsed="false">
      <c r="A54" s="6" t="s">
        <v>32</v>
      </c>
      <c r="B54" s="6" t="s">
        <v>53</v>
      </c>
      <c r="C54" s="6" t="s">
        <v>54</v>
      </c>
      <c r="D54" s="6" t="n">
        <v>16</v>
      </c>
      <c r="E54" s="6" t="n">
        <v>10</v>
      </c>
      <c r="F54" s="6" t="n">
        <v>6</v>
      </c>
      <c r="G54" s="7" t="s">
        <v>46</v>
      </c>
      <c r="H54" s="6" t="s">
        <v>129</v>
      </c>
      <c r="I54" s="6"/>
    </row>
    <row r="55" customFormat="false" ht="15" hidden="false" customHeight="true" outlineLevel="0" collapsed="false">
      <c r="A55" s="6" t="s">
        <v>32</v>
      </c>
      <c r="B55" s="6" t="s">
        <v>78</v>
      </c>
      <c r="C55" s="6" t="s">
        <v>78</v>
      </c>
      <c r="D55" s="6" t="n">
        <v>1</v>
      </c>
      <c r="E55" s="6" t="n">
        <v>0</v>
      </c>
      <c r="F55" s="6" t="s">
        <v>58</v>
      </c>
      <c r="G55" s="8" t="s">
        <v>73</v>
      </c>
      <c r="H55" s="6" t="s">
        <v>76</v>
      </c>
      <c r="I55" s="6" t="s">
        <v>75</v>
      </c>
    </row>
    <row r="56" customFormat="false" ht="15" hidden="false" customHeight="true" outlineLevel="0" collapsed="false">
      <c r="A56" s="6" t="s">
        <v>32</v>
      </c>
      <c r="B56" s="6" t="s">
        <v>80</v>
      </c>
      <c r="C56" s="6" t="s">
        <v>80</v>
      </c>
      <c r="D56" s="6" t="n">
        <v>1</v>
      </c>
      <c r="E56" s="6" t="n">
        <v>0</v>
      </c>
      <c r="F56" s="6" t="s">
        <v>58</v>
      </c>
      <c r="G56" s="8" t="s">
        <v>73</v>
      </c>
      <c r="H56" s="6" t="s">
        <v>76</v>
      </c>
      <c r="I56" s="6" t="s">
        <v>75</v>
      </c>
    </row>
    <row r="57" customFormat="false" ht="15" hidden="false" customHeight="true" outlineLevel="0" collapsed="false">
      <c r="A57" s="6" t="s">
        <v>32</v>
      </c>
      <c r="B57" s="6" t="s">
        <v>81</v>
      </c>
      <c r="C57" s="6" t="s">
        <v>81</v>
      </c>
      <c r="D57" s="6" t="n">
        <v>1</v>
      </c>
      <c r="E57" s="6" t="n">
        <v>1</v>
      </c>
      <c r="F57" s="6" t="s">
        <v>58</v>
      </c>
      <c r="G57" s="8" t="s">
        <v>73</v>
      </c>
      <c r="H57" s="6" t="s">
        <v>76</v>
      </c>
      <c r="I57" s="6" t="s">
        <v>75</v>
      </c>
    </row>
    <row r="58" customFormat="false" ht="15" hidden="false" customHeight="true" outlineLevel="0" collapsed="false">
      <c r="A58" s="6" t="s">
        <v>32</v>
      </c>
      <c r="B58" s="6" t="s">
        <v>64</v>
      </c>
      <c r="C58" s="6" t="s">
        <v>65</v>
      </c>
      <c r="D58" s="6" t="n">
        <v>6</v>
      </c>
      <c r="E58" s="6" t="n">
        <v>2</v>
      </c>
      <c r="F58" s="6" t="s">
        <v>58</v>
      </c>
      <c r="G58" s="8" t="s">
        <v>73</v>
      </c>
      <c r="H58" s="6" t="s">
        <v>76</v>
      </c>
      <c r="I58" s="6" t="s">
        <v>75</v>
      </c>
    </row>
    <row r="59" customFormat="false" ht="15" hidden="false" customHeight="true" outlineLevel="0" collapsed="false">
      <c r="A59" s="6" t="s">
        <v>34</v>
      </c>
      <c r="B59" s="6" t="s">
        <v>91</v>
      </c>
      <c r="C59" s="6" t="s">
        <v>45</v>
      </c>
      <c r="D59" s="6" t="n">
        <v>35</v>
      </c>
      <c r="E59" s="6" t="n">
        <v>27</v>
      </c>
      <c r="F59" s="6" t="n">
        <v>8</v>
      </c>
      <c r="G59" s="7" t="s">
        <v>46</v>
      </c>
      <c r="H59" s="6" t="s">
        <v>130</v>
      </c>
      <c r="I59" s="6"/>
    </row>
    <row r="60" customFormat="false" ht="15" hidden="false" customHeight="true" outlineLevel="0" collapsed="false">
      <c r="A60" s="6" t="s">
        <v>34</v>
      </c>
      <c r="B60" s="6" t="s">
        <v>93</v>
      </c>
      <c r="C60" s="6" t="s">
        <v>50</v>
      </c>
      <c r="D60" s="6" t="n">
        <v>4</v>
      </c>
      <c r="E60" s="6" t="n">
        <v>3</v>
      </c>
      <c r="F60" s="6" t="n">
        <v>1</v>
      </c>
      <c r="G60" s="10" t="s">
        <v>69</v>
      </c>
      <c r="H60" s="6" t="s">
        <v>131</v>
      </c>
      <c r="I60" s="6" t="s">
        <v>132</v>
      </c>
    </row>
    <row r="61" customFormat="false" ht="15" hidden="false" customHeight="true" outlineLevel="0" collapsed="false">
      <c r="A61" s="6" t="s">
        <v>34</v>
      </c>
      <c r="B61" s="6" t="s">
        <v>94</v>
      </c>
      <c r="C61" s="6" t="s">
        <v>95</v>
      </c>
      <c r="D61" s="6" t="n">
        <v>3</v>
      </c>
      <c r="E61" s="6" t="n">
        <v>0</v>
      </c>
      <c r="F61" s="6" t="n">
        <v>0</v>
      </c>
      <c r="G61" s="9" t="s">
        <v>61</v>
      </c>
      <c r="H61" s="6" t="s">
        <v>133</v>
      </c>
      <c r="I61" s="6"/>
    </row>
    <row r="62" customFormat="false" ht="15" hidden="false" customHeight="true" outlineLevel="0" collapsed="false">
      <c r="A62" s="6" t="s">
        <v>34</v>
      </c>
      <c r="B62" s="6" t="s">
        <v>53</v>
      </c>
      <c r="C62" s="6" t="s">
        <v>54</v>
      </c>
      <c r="D62" s="6" t="n">
        <v>10</v>
      </c>
      <c r="E62" s="6" t="n">
        <v>8</v>
      </c>
      <c r="F62" s="6" t="n">
        <v>0</v>
      </c>
      <c r="G62" s="9" t="s">
        <v>61</v>
      </c>
      <c r="H62" s="6" t="s">
        <v>134</v>
      </c>
      <c r="I62" s="6"/>
    </row>
    <row r="63" customFormat="false" ht="15" hidden="false" customHeight="true" outlineLevel="0" collapsed="false">
      <c r="A63" s="6" t="s">
        <v>34</v>
      </c>
      <c r="B63" s="6" t="s">
        <v>59</v>
      </c>
      <c r="C63" s="6" t="s">
        <v>60</v>
      </c>
      <c r="D63" s="6" t="n">
        <v>6</v>
      </c>
      <c r="E63" s="6" t="n">
        <v>7</v>
      </c>
      <c r="F63" s="6" t="n">
        <v>0</v>
      </c>
      <c r="G63" s="9" t="s">
        <v>61</v>
      </c>
      <c r="H63" s="6" t="s">
        <v>106</v>
      </c>
      <c r="I63" s="6"/>
    </row>
    <row r="64" customFormat="false" ht="15" hidden="false" customHeight="true" outlineLevel="0" collapsed="false">
      <c r="A64" s="6" t="s">
        <v>34</v>
      </c>
      <c r="B64" s="6" t="s">
        <v>64</v>
      </c>
      <c r="C64" s="6" t="s">
        <v>65</v>
      </c>
      <c r="D64" s="6" t="n">
        <v>4</v>
      </c>
      <c r="E64" s="6" t="n">
        <v>12</v>
      </c>
      <c r="F64" s="6" t="s">
        <v>58</v>
      </c>
      <c r="G64" s="8" t="s">
        <v>73</v>
      </c>
      <c r="H64" s="6" t="s">
        <v>135</v>
      </c>
      <c r="I64" s="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52"/>
    <col collapsed="false" customWidth="true" hidden="false" outlineLevel="0" max="4" min="4" style="1" width="28"/>
  </cols>
  <sheetData>
    <row r="1" customFormat="false" ht="15" hidden="false" customHeight="true" outlineLevel="0" collapsed="false">
      <c r="A1" s="2" t="s">
        <v>0</v>
      </c>
      <c r="B1" s="2" t="s">
        <v>136</v>
      </c>
      <c r="C1" s="2" t="s">
        <v>137</v>
      </c>
      <c r="D1" s="2" t="s">
        <v>41</v>
      </c>
    </row>
    <row r="2" customFormat="false" ht="15" hidden="false" customHeight="true" outlineLevel="0" collapsed="false">
      <c r="A2" s="3" t="s">
        <v>12</v>
      </c>
      <c r="B2" s="3" t="s">
        <v>138</v>
      </c>
      <c r="C2" s="3" t="s">
        <v>139</v>
      </c>
      <c r="D2" s="11" t="s">
        <v>46</v>
      </c>
    </row>
    <row r="3" customFormat="false" ht="15" hidden="false" customHeight="true" outlineLevel="0" collapsed="false">
      <c r="A3" s="3" t="s">
        <v>12</v>
      </c>
      <c r="B3" s="3" t="s">
        <v>138</v>
      </c>
      <c r="C3" s="3" t="s">
        <v>140</v>
      </c>
      <c r="D3" s="11" t="s">
        <v>46</v>
      </c>
    </row>
    <row r="4" customFormat="false" ht="15" hidden="false" customHeight="true" outlineLevel="0" collapsed="false">
      <c r="A4" s="3" t="s">
        <v>12</v>
      </c>
      <c r="B4" s="3" t="s">
        <v>138</v>
      </c>
      <c r="C4" s="3" t="s">
        <v>141</v>
      </c>
      <c r="D4" s="11" t="s">
        <v>46</v>
      </c>
    </row>
    <row r="5" customFormat="false" ht="15" hidden="false" customHeight="true" outlineLevel="0" collapsed="false">
      <c r="A5" s="3" t="s">
        <v>12</v>
      </c>
      <c r="B5" s="3" t="s">
        <v>138</v>
      </c>
      <c r="C5" s="3" t="s">
        <v>142</v>
      </c>
      <c r="D5" s="11" t="s">
        <v>46</v>
      </c>
    </row>
    <row r="6" customFormat="false" ht="15" hidden="false" customHeight="true" outlineLevel="0" collapsed="false">
      <c r="A6" s="3" t="s">
        <v>16</v>
      </c>
      <c r="B6" s="3" t="s">
        <v>143</v>
      </c>
      <c r="C6" s="3" t="s">
        <v>68</v>
      </c>
      <c r="D6" s="11" t="s">
        <v>46</v>
      </c>
    </row>
    <row r="7" customFormat="false" ht="15" hidden="false" customHeight="true" outlineLevel="0" collapsed="false">
      <c r="A7" s="3" t="s">
        <v>16</v>
      </c>
      <c r="B7" s="3" t="s">
        <v>143</v>
      </c>
      <c r="C7" s="3" t="s">
        <v>78</v>
      </c>
      <c r="D7" s="11" t="s">
        <v>46</v>
      </c>
    </row>
    <row r="8" customFormat="false" ht="15" hidden="false" customHeight="true" outlineLevel="0" collapsed="false">
      <c r="A8" s="3" t="s">
        <v>16</v>
      </c>
      <c r="B8" s="3" t="s">
        <v>143</v>
      </c>
      <c r="C8" s="3" t="s">
        <v>53</v>
      </c>
      <c r="D8" s="11" t="s">
        <v>46</v>
      </c>
    </row>
    <row r="9" customFormat="false" ht="15" hidden="false" customHeight="true" outlineLevel="0" collapsed="false">
      <c r="A9" s="3" t="s">
        <v>16</v>
      </c>
      <c r="B9" s="3" t="s">
        <v>143</v>
      </c>
      <c r="C9" s="3" t="s">
        <v>80</v>
      </c>
      <c r="D9" s="11" t="s">
        <v>46</v>
      </c>
    </row>
    <row r="10" customFormat="false" ht="15" hidden="false" customHeight="true" outlineLevel="0" collapsed="false">
      <c r="A10" s="3" t="s">
        <v>16</v>
      </c>
      <c r="B10" s="3" t="s">
        <v>143</v>
      </c>
      <c r="C10" s="3" t="s">
        <v>81</v>
      </c>
      <c r="D10" s="11" t="s">
        <v>46</v>
      </c>
    </row>
    <row r="11" customFormat="false" ht="15" hidden="false" customHeight="true" outlineLevel="0" collapsed="false">
      <c r="A11" s="3" t="s">
        <v>16</v>
      </c>
      <c r="B11" s="3" t="s">
        <v>138</v>
      </c>
      <c r="C11" s="3" t="s">
        <v>144</v>
      </c>
      <c r="D11" s="11" t="s">
        <v>46</v>
      </c>
    </row>
    <row r="12" customFormat="false" ht="15" hidden="false" customHeight="true" outlineLevel="0" collapsed="false">
      <c r="A12" s="3" t="s">
        <v>19</v>
      </c>
      <c r="B12" s="3" t="s">
        <v>143</v>
      </c>
      <c r="C12" s="3" t="s">
        <v>84</v>
      </c>
      <c r="D12" s="11" t="s">
        <v>46</v>
      </c>
    </row>
    <row r="13" customFormat="false" ht="15" hidden="false" customHeight="true" outlineLevel="0" collapsed="false">
      <c r="A13" s="3" t="s">
        <v>19</v>
      </c>
      <c r="B13" s="3" t="s">
        <v>143</v>
      </c>
      <c r="C13" s="3" t="s">
        <v>86</v>
      </c>
      <c r="D13" s="11" t="s">
        <v>46</v>
      </c>
    </row>
    <row r="14" customFormat="false" ht="15" hidden="false" customHeight="true" outlineLevel="0" collapsed="false">
      <c r="A14" s="3" t="s">
        <v>19</v>
      </c>
      <c r="B14" s="3" t="s">
        <v>143</v>
      </c>
      <c r="C14" s="3" t="s">
        <v>89</v>
      </c>
      <c r="D14" s="11" t="s">
        <v>46</v>
      </c>
    </row>
    <row r="15" customFormat="false" ht="15" hidden="false" customHeight="true" outlineLevel="0" collapsed="false">
      <c r="A15" s="3" t="s">
        <v>19</v>
      </c>
      <c r="B15" s="3" t="s">
        <v>138</v>
      </c>
      <c r="C15" s="3" t="s">
        <v>145</v>
      </c>
      <c r="D15" s="11" t="s">
        <v>46</v>
      </c>
    </row>
    <row r="16" customFormat="false" ht="15" hidden="false" customHeight="true" outlineLevel="0" collapsed="false">
      <c r="A16" s="3" t="s">
        <v>19</v>
      </c>
      <c r="B16" s="3" t="s">
        <v>138</v>
      </c>
      <c r="C16" s="3" t="s">
        <v>146</v>
      </c>
      <c r="D16" s="11" t="s">
        <v>46</v>
      </c>
    </row>
    <row r="17" customFormat="false" ht="15" hidden="false" customHeight="true" outlineLevel="0" collapsed="false">
      <c r="A17" s="3" t="s">
        <v>19</v>
      </c>
      <c r="B17" s="3" t="s">
        <v>138</v>
      </c>
      <c r="C17" s="3" t="s">
        <v>147</v>
      </c>
      <c r="D17" s="12" t="s">
        <v>61</v>
      </c>
    </row>
    <row r="18" customFormat="false" ht="15" hidden="false" customHeight="true" outlineLevel="0" collapsed="false">
      <c r="A18" s="3" t="s">
        <v>19</v>
      </c>
      <c r="B18" s="3" t="s">
        <v>138</v>
      </c>
      <c r="C18" s="3" t="s">
        <v>148</v>
      </c>
      <c r="D18" s="11" t="s">
        <v>46</v>
      </c>
    </row>
    <row r="19" customFormat="false" ht="15" hidden="false" customHeight="true" outlineLevel="0" collapsed="false">
      <c r="A19" s="3" t="s">
        <v>21</v>
      </c>
      <c r="B19" s="3" t="s">
        <v>143</v>
      </c>
      <c r="C19" s="3" t="s">
        <v>93</v>
      </c>
      <c r="D19" s="11" t="s">
        <v>46</v>
      </c>
    </row>
    <row r="20" customFormat="false" ht="15" hidden="false" customHeight="true" outlineLevel="0" collapsed="false">
      <c r="A20" s="3" t="s">
        <v>21</v>
      </c>
      <c r="B20" s="3" t="s">
        <v>143</v>
      </c>
      <c r="C20" s="3" t="s">
        <v>94</v>
      </c>
      <c r="D20" s="11" t="s">
        <v>46</v>
      </c>
    </row>
    <row r="21" customFormat="false" ht="15" hidden="false" customHeight="true" outlineLevel="0" collapsed="false">
      <c r="A21" s="3" t="s">
        <v>21</v>
      </c>
      <c r="B21" s="3" t="s">
        <v>143</v>
      </c>
      <c r="C21" s="3" t="s">
        <v>60</v>
      </c>
      <c r="D21" s="11" t="s">
        <v>46</v>
      </c>
    </row>
    <row r="22" customFormat="false" ht="15" hidden="false" customHeight="true" outlineLevel="0" collapsed="false">
      <c r="A22" s="3" t="s">
        <v>21</v>
      </c>
      <c r="B22" s="3" t="s">
        <v>138</v>
      </c>
      <c r="C22" s="3" t="s">
        <v>149</v>
      </c>
      <c r="D22" s="11" t="s">
        <v>46</v>
      </c>
    </row>
    <row r="23" customFormat="false" ht="15" hidden="false" customHeight="true" outlineLevel="0" collapsed="false">
      <c r="A23" s="3" t="s">
        <v>24</v>
      </c>
      <c r="B23" s="3" t="s">
        <v>143</v>
      </c>
      <c r="C23" s="3" t="s">
        <v>150</v>
      </c>
      <c r="D23" s="11" t="s">
        <v>46</v>
      </c>
    </row>
    <row r="24" customFormat="false" ht="15" hidden="false" customHeight="true" outlineLevel="0" collapsed="false">
      <c r="A24" s="3" t="s">
        <v>24</v>
      </c>
      <c r="B24" s="3" t="s">
        <v>143</v>
      </c>
      <c r="C24" s="3" t="s">
        <v>56</v>
      </c>
      <c r="D24" s="11" t="s">
        <v>46</v>
      </c>
    </row>
    <row r="25" customFormat="false" ht="15" hidden="false" customHeight="true" outlineLevel="0" collapsed="false">
      <c r="A25" s="3" t="s">
        <v>24</v>
      </c>
      <c r="B25" s="3" t="s">
        <v>143</v>
      </c>
      <c r="C25" s="3" t="s">
        <v>60</v>
      </c>
      <c r="D25" s="11" t="s">
        <v>46</v>
      </c>
    </row>
    <row r="26" customFormat="false" ht="15" hidden="false" customHeight="true" outlineLevel="0" collapsed="false">
      <c r="A26" s="3" t="s">
        <v>24</v>
      </c>
      <c r="B26" s="3" t="s">
        <v>138</v>
      </c>
      <c r="C26" s="3" t="s">
        <v>151</v>
      </c>
      <c r="D26" s="11" t="s">
        <v>46</v>
      </c>
    </row>
    <row r="27" customFormat="false" ht="15" hidden="false" customHeight="true" outlineLevel="0" collapsed="false">
      <c r="A27" s="3" t="s">
        <v>24</v>
      </c>
      <c r="B27" s="3" t="s">
        <v>138</v>
      </c>
      <c r="C27" s="3" t="s">
        <v>152</v>
      </c>
      <c r="D27" s="12" t="s">
        <v>61</v>
      </c>
    </row>
    <row r="28" customFormat="false" ht="15" hidden="false" customHeight="true" outlineLevel="0" collapsed="false">
      <c r="A28" s="3" t="s">
        <v>26</v>
      </c>
      <c r="B28" s="3" t="s">
        <v>138</v>
      </c>
      <c r="C28" s="3" t="s">
        <v>153</v>
      </c>
      <c r="D28" s="12" t="s">
        <v>61</v>
      </c>
    </row>
    <row r="29" customFormat="false" ht="15" hidden="false" customHeight="true" outlineLevel="0" collapsed="false">
      <c r="A29" s="3" t="s">
        <v>28</v>
      </c>
      <c r="B29" s="3" t="s">
        <v>143</v>
      </c>
      <c r="C29" s="3" t="s">
        <v>84</v>
      </c>
      <c r="D29" s="11" t="s">
        <v>46</v>
      </c>
    </row>
    <row r="30" customFormat="false" ht="15" hidden="false" customHeight="true" outlineLevel="0" collapsed="false">
      <c r="A30" s="3" t="s">
        <v>28</v>
      </c>
      <c r="B30" s="3" t="s">
        <v>143</v>
      </c>
      <c r="C30" s="3" t="s">
        <v>86</v>
      </c>
      <c r="D30" s="11" t="s">
        <v>46</v>
      </c>
    </row>
    <row r="31" customFormat="false" ht="15" hidden="false" customHeight="true" outlineLevel="0" collapsed="false">
      <c r="A31" s="3" t="s">
        <v>28</v>
      </c>
      <c r="B31" s="3" t="s">
        <v>143</v>
      </c>
      <c r="C31" s="3" t="s">
        <v>89</v>
      </c>
      <c r="D31" s="11" t="s">
        <v>46</v>
      </c>
    </row>
    <row r="32" customFormat="false" ht="15" hidden="false" customHeight="true" outlineLevel="0" collapsed="false">
      <c r="A32" s="3" t="s">
        <v>28</v>
      </c>
      <c r="B32" s="3" t="s">
        <v>138</v>
      </c>
      <c r="C32" s="3" t="s">
        <v>154</v>
      </c>
      <c r="D32" s="12" t="s">
        <v>61</v>
      </c>
    </row>
    <row r="33" customFormat="false" ht="15" hidden="false" customHeight="true" outlineLevel="0" collapsed="false">
      <c r="A33" s="3" t="s">
        <v>28</v>
      </c>
      <c r="B33" s="3" t="s">
        <v>138</v>
      </c>
      <c r="C33" s="3" t="s">
        <v>155</v>
      </c>
      <c r="D33" s="11" t="s">
        <v>46</v>
      </c>
    </row>
    <row r="34" customFormat="false" ht="15" hidden="false" customHeight="true" outlineLevel="0" collapsed="false">
      <c r="A34" s="3" t="s">
        <v>28</v>
      </c>
      <c r="B34" s="3" t="s">
        <v>138</v>
      </c>
      <c r="C34" s="3" t="s">
        <v>156</v>
      </c>
      <c r="D34" s="13" t="s">
        <v>73</v>
      </c>
    </row>
    <row r="35" customFormat="false" ht="15" hidden="false" customHeight="true" outlineLevel="0" collapsed="false">
      <c r="A35" s="3" t="s">
        <v>28</v>
      </c>
      <c r="B35" s="3" t="s">
        <v>138</v>
      </c>
      <c r="C35" s="3" t="s">
        <v>157</v>
      </c>
      <c r="D35" s="11" t="s">
        <v>46</v>
      </c>
    </row>
    <row r="36" customFormat="false" ht="15" hidden="false" customHeight="true" outlineLevel="0" collapsed="false">
      <c r="A36" s="3" t="s">
        <v>29</v>
      </c>
      <c r="B36" s="3" t="s">
        <v>143</v>
      </c>
      <c r="C36" s="3" t="s">
        <v>158</v>
      </c>
      <c r="D36" s="11" t="s">
        <v>46</v>
      </c>
    </row>
    <row r="37" customFormat="false" ht="15" hidden="false" customHeight="true" outlineLevel="0" collapsed="false">
      <c r="A37" s="3" t="s">
        <v>29</v>
      </c>
      <c r="B37" s="3" t="s">
        <v>138</v>
      </c>
      <c r="C37" s="3" t="s">
        <v>159</v>
      </c>
      <c r="D37" s="11" t="s">
        <v>46</v>
      </c>
    </row>
    <row r="38" customFormat="false" ht="15" hidden="false" customHeight="true" outlineLevel="0" collapsed="false">
      <c r="A38" s="3" t="s">
        <v>29</v>
      </c>
      <c r="B38" s="3" t="s">
        <v>138</v>
      </c>
      <c r="C38" s="3" t="s">
        <v>160</v>
      </c>
      <c r="D38" s="12" t="s">
        <v>61</v>
      </c>
    </row>
    <row r="39" customFormat="false" ht="15" hidden="false" customHeight="true" outlineLevel="0" collapsed="false">
      <c r="A39" s="3" t="s">
        <v>29</v>
      </c>
      <c r="B39" s="3" t="s">
        <v>138</v>
      </c>
      <c r="C39" s="3" t="s">
        <v>161</v>
      </c>
      <c r="D39" s="11" t="s">
        <v>46</v>
      </c>
    </row>
    <row r="40" customFormat="false" ht="15" hidden="false" customHeight="true" outlineLevel="0" collapsed="false">
      <c r="A40" s="3" t="s">
        <v>29</v>
      </c>
      <c r="B40" s="3" t="s">
        <v>138</v>
      </c>
      <c r="C40" s="3" t="s">
        <v>162</v>
      </c>
      <c r="D40" s="11" t="s">
        <v>46</v>
      </c>
    </row>
    <row r="41" customFormat="false" ht="15" hidden="false" customHeight="true" outlineLevel="0" collapsed="false">
      <c r="A41" s="3" t="s">
        <v>29</v>
      </c>
      <c r="B41" s="3" t="s">
        <v>138</v>
      </c>
      <c r="C41" s="3" t="s">
        <v>163</v>
      </c>
      <c r="D41" s="13" t="s">
        <v>73</v>
      </c>
    </row>
    <row r="42" customFormat="false" ht="15" hidden="false" customHeight="true" outlineLevel="0" collapsed="false">
      <c r="A42" s="3" t="s">
        <v>29</v>
      </c>
      <c r="B42" s="3" t="s">
        <v>138</v>
      </c>
      <c r="C42" s="3" t="s">
        <v>164</v>
      </c>
      <c r="D42" s="13" t="s">
        <v>73</v>
      </c>
    </row>
    <row r="43" customFormat="false" ht="15" hidden="false" customHeight="true" outlineLevel="0" collapsed="false">
      <c r="A43" s="3" t="s">
        <v>29</v>
      </c>
      <c r="B43" s="3" t="s">
        <v>138</v>
      </c>
      <c r="C43" s="3" t="s">
        <v>165</v>
      </c>
      <c r="D43" s="13" t="s">
        <v>73</v>
      </c>
    </row>
    <row r="44" customFormat="false" ht="15" hidden="false" customHeight="true" outlineLevel="0" collapsed="false">
      <c r="A44" s="3" t="s">
        <v>29</v>
      </c>
      <c r="B44" s="3" t="s">
        <v>138</v>
      </c>
      <c r="C44" s="3" t="s">
        <v>166</v>
      </c>
      <c r="D44" s="13" t="s">
        <v>73</v>
      </c>
    </row>
    <row r="45" customFormat="false" ht="15" hidden="false" customHeight="true" outlineLevel="0" collapsed="false">
      <c r="A45" s="3" t="s">
        <v>32</v>
      </c>
      <c r="B45" s="3" t="s">
        <v>143</v>
      </c>
      <c r="C45" s="3" t="s">
        <v>68</v>
      </c>
      <c r="D45" s="11" t="s">
        <v>46</v>
      </c>
    </row>
    <row r="46" customFormat="false" ht="15" hidden="false" customHeight="true" outlineLevel="0" collapsed="false">
      <c r="A46" s="3" t="s">
        <v>32</v>
      </c>
      <c r="B46" s="3" t="s">
        <v>143</v>
      </c>
      <c r="C46" s="3" t="s">
        <v>78</v>
      </c>
      <c r="D46" s="11" t="s">
        <v>46</v>
      </c>
    </row>
    <row r="47" customFormat="false" ht="15" hidden="false" customHeight="true" outlineLevel="0" collapsed="false">
      <c r="A47" s="3" t="s">
        <v>32</v>
      </c>
      <c r="B47" s="3" t="s">
        <v>143</v>
      </c>
      <c r="C47" s="3" t="s">
        <v>53</v>
      </c>
      <c r="D47" s="11" t="s">
        <v>46</v>
      </c>
    </row>
    <row r="48" customFormat="false" ht="15" hidden="false" customHeight="true" outlineLevel="0" collapsed="false">
      <c r="A48" s="3" t="s">
        <v>32</v>
      </c>
      <c r="B48" s="3" t="s">
        <v>143</v>
      </c>
      <c r="C48" s="3" t="s">
        <v>80</v>
      </c>
      <c r="D48" s="11" t="s">
        <v>46</v>
      </c>
    </row>
    <row r="49" customFormat="false" ht="15" hidden="false" customHeight="true" outlineLevel="0" collapsed="false">
      <c r="A49" s="3" t="s">
        <v>32</v>
      </c>
      <c r="B49" s="3" t="s">
        <v>143</v>
      </c>
      <c r="C49" s="3" t="s">
        <v>81</v>
      </c>
      <c r="D49" s="11" t="s">
        <v>46</v>
      </c>
    </row>
    <row r="50" customFormat="false" ht="15" hidden="false" customHeight="true" outlineLevel="0" collapsed="false">
      <c r="A50" s="3" t="s">
        <v>32</v>
      </c>
      <c r="B50" s="3" t="s">
        <v>138</v>
      </c>
      <c r="C50" s="3" t="s">
        <v>167</v>
      </c>
      <c r="D50" s="11" t="s">
        <v>46</v>
      </c>
    </row>
    <row r="51" customFormat="false" ht="15" hidden="false" customHeight="true" outlineLevel="0" collapsed="false">
      <c r="A51" s="3" t="s">
        <v>34</v>
      </c>
      <c r="B51" s="3" t="s">
        <v>143</v>
      </c>
      <c r="C51" s="3" t="s">
        <v>93</v>
      </c>
      <c r="D51" s="11" t="s">
        <v>46</v>
      </c>
    </row>
    <row r="52" customFormat="false" ht="15" hidden="false" customHeight="true" outlineLevel="0" collapsed="false">
      <c r="A52" s="3" t="s">
        <v>34</v>
      </c>
      <c r="B52" s="3" t="s">
        <v>143</v>
      </c>
      <c r="C52" s="3" t="s">
        <v>94</v>
      </c>
      <c r="D52" s="11" t="s">
        <v>46</v>
      </c>
    </row>
    <row r="53" customFormat="false" ht="15" hidden="false" customHeight="true" outlineLevel="0" collapsed="false">
      <c r="A53" s="3" t="s">
        <v>34</v>
      </c>
      <c r="B53" s="3" t="s">
        <v>138</v>
      </c>
      <c r="C53" s="3" t="s">
        <v>168</v>
      </c>
      <c r="D53" s="11" t="s">
        <v>46</v>
      </c>
    </row>
    <row r="54" customFormat="false" ht="15" hidden="false" customHeight="true" outlineLevel="0" collapsed="false">
      <c r="A54" s="3" t="s">
        <v>34</v>
      </c>
      <c r="B54" s="3" t="s">
        <v>138</v>
      </c>
      <c r="C54" s="3" t="s">
        <v>169</v>
      </c>
      <c r="D54" s="1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14" t="s">
        <v>170</v>
      </c>
      <c r="B1" s="15" t="s">
        <v>171</v>
      </c>
    </row>
    <row r="2" customFormat="false" ht="15" hidden="false" customHeight="true" outlineLevel="0" collapsed="false">
      <c r="A2" s="14" t="s">
        <v>172</v>
      </c>
      <c r="B2" s="15" t="s">
        <v>173</v>
      </c>
    </row>
    <row r="3" customFormat="false" ht="15" hidden="false" customHeight="true" outlineLevel="0" collapsed="false">
      <c r="A3" s="14" t="s">
        <v>174</v>
      </c>
      <c r="B3" s="15" t="s">
        <v>175</v>
      </c>
    </row>
    <row r="4" customFormat="false" ht="23.25" hidden="false" customHeight="true" outlineLevel="0" collapsed="false">
      <c r="A4" s="14" t="s">
        <v>176</v>
      </c>
      <c r="B4" s="15" t="s">
        <v>177</v>
      </c>
    </row>
    <row r="5" customFormat="false" ht="15" hidden="false" customHeight="true" outlineLevel="0" collapsed="false">
      <c r="A5" s="14" t="s">
        <v>178</v>
      </c>
      <c r="B5" s="15" t="s">
        <v>179</v>
      </c>
    </row>
    <row r="6" customFormat="false" ht="23.25" hidden="false" customHeight="true" outlineLevel="0" collapsed="false">
      <c r="A6" s="14" t="s">
        <v>180</v>
      </c>
      <c r="B6" s="15" t="s">
        <v>181</v>
      </c>
    </row>
    <row r="7" customFormat="false" ht="15" hidden="false" customHeight="true" outlineLevel="0" collapsed="false">
      <c r="A7" s="14" t="s">
        <v>182</v>
      </c>
      <c r="B7" s="15" t="s">
        <v>183</v>
      </c>
    </row>
    <row r="8" customFormat="false" ht="23.25" hidden="false" customHeight="true" outlineLevel="0" collapsed="false">
      <c r="A8" s="14" t="s">
        <v>184</v>
      </c>
      <c r="B8" s="15" t="s">
        <v>185</v>
      </c>
    </row>
    <row r="9" customFormat="false" ht="23.25" hidden="false" customHeight="true" outlineLevel="0" collapsed="false">
      <c r="A9" s="14" t="s">
        <v>186</v>
      </c>
      <c r="B9" s="15" t="s">
        <v>187</v>
      </c>
    </row>
    <row r="10" customFormat="false" ht="15" hidden="false" customHeight="false" outlineLevel="0" collapsed="false">
      <c r="A10" s="16" t="s">
        <v>188</v>
      </c>
      <c r="B10" s="17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2026-09-24T14:11:23Z</dcterms:created>
  <dc:creator>openpyxl</dc:creator>
  <dc:description/>
  <dc:language>en-US</dc:language>
  <cp:lastModifiedBy/>
  <dcterms:modified xsi:type="dcterms:W3CDTF">2026-09-24T14:15:47Z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